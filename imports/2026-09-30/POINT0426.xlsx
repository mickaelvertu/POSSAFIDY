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Programs\posaistudio\POSAISTUDIO\imports\2026-09-30\"/>
    </mc:Choice>
  </mc:AlternateContent>
  <xr:revisionPtr revIDLastSave="0" documentId="13_ncr:1_{DCF6616E-096D-4D4B-8010-FF8D957F1D93}" xr6:coauthVersionLast="47" xr6:coauthVersionMax="47" xr10:uidLastSave="{00000000-0000-0000-0000-000000000000}"/>
  <bookViews>
    <workbookView xWindow="-120" yWindow="-120" windowWidth="29040" windowHeight="15720" tabRatio="925" firstSheet="15" activeTab="24" xr2:uid="{00000000-000D-0000-FFFF-FFFF00000000}"/>
  </bookViews>
  <sheets>
    <sheet name="ANTSAHABE" sheetId="1" r:id="rId1"/>
    <sheet name="ANALAMAHITSY" sheetId="37" r:id="rId2"/>
    <sheet name="Akoor Digue" sheetId="9" r:id="rId3"/>
    <sheet name="ANTANINANDRO" sheetId="4" r:id="rId4"/>
    <sheet name="ANOSY" sheetId="33" r:id="rId5"/>
    <sheet name="REX" sheetId="2" r:id="rId6"/>
    <sheet name="TSARALALANA" sheetId="46" r:id="rId7"/>
    <sheet name="ANKAZOMANGA" sheetId="11" r:id="rId8"/>
    <sheet name="MORAMANGA" sheetId="27" r:id="rId9"/>
    <sheet name="Maman Shinning Tamatave" sheetId="29" r:id="rId10"/>
    <sheet name="Meteo Ampasapito" sheetId="3" r:id="rId11"/>
    <sheet name="IVATO" sheetId="5" r:id="rId12"/>
    <sheet name="SOANIERANA" sheetId="6" r:id="rId13"/>
    <sheet name="TALATAMATY" sheetId="7" r:id="rId14"/>
    <sheet name="MAHAMASINA" sheetId="10" r:id="rId15"/>
    <sheet name="ANKADINDRATOMBO" sheetId="15" r:id="rId16"/>
    <sheet name="AMPANDRANA" sheetId="13" r:id="rId17"/>
    <sheet name="ANDRANOMENA" sheetId="40" r:id="rId18"/>
    <sheet name="ANTSIRABE" sheetId="34" r:id="rId19"/>
    <sheet name="ANALAKELY" sheetId="14" r:id="rId20"/>
    <sheet name="Mr Riana Commercial" sheetId="35" r:id="rId21"/>
    <sheet name="Mr Ismael Commercial" sheetId="43" r:id="rId22"/>
    <sheet name="Mr Jean Yves Antsirabe" sheetId="42" r:id="rId23"/>
    <sheet name="IMERITSIATOSIKA" sheetId="32" r:id="rId24"/>
    <sheet name="MAHAJANGA" sheetId="39" r:id="rId25"/>
    <sheet name="DEPOT CENTRAL" sheetId="47" r:id="rId26"/>
  </sheets>
  <definedNames>
    <definedName name="_xlnm._FilterDatabase" localSheetId="0" hidden="1">ANTSAHABE!$A$3:$A$70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1" i="47" l="1"/>
  <c r="B46" i="47"/>
  <c r="B71" i="47"/>
  <c r="B89" i="47"/>
  <c r="B18" i="47"/>
  <c r="B50" i="47"/>
  <c r="B9" i="47"/>
  <c r="B90" i="47"/>
  <c r="B68" i="47"/>
  <c r="B69" i="47"/>
  <c r="B39" i="47"/>
  <c r="B40" i="47"/>
  <c r="B29" i="47"/>
  <c r="B4" i="47"/>
  <c r="B3" i="47"/>
  <c r="B30" i="47"/>
  <c r="B36" i="47"/>
  <c r="B76" i="47"/>
</calcChain>
</file>

<file path=xl/sharedStrings.xml><?xml version="1.0" encoding="utf-8"?>
<sst xmlns="http://schemas.openxmlformats.org/spreadsheetml/2006/main" count="3007" uniqueCount="138">
  <si>
    <t>PRODUITS</t>
  </si>
  <si>
    <t>PACK</t>
  </si>
  <si>
    <t>ALOE MIEL</t>
  </si>
  <si>
    <t>ALOE NONI</t>
  </si>
  <si>
    <t>ALOE PUR</t>
  </si>
  <si>
    <t>ANANAMBO</t>
  </si>
  <si>
    <t>ANJARASOA</t>
  </si>
  <si>
    <t>ARGILE JAUNE</t>
  </si>
  <si>
    <t>ARGILE ROUGE</t>
  </si>
  <si>
    <t>ARGILE VERTE</t>
  </si>
  <si>
    <t>BAOBAB</t>
  </si>
  <si>
    <t>BAUME MÉMOIRE</t>
  </si>
  <si>
    <t>BAUME RADRIAKA</t>
  </si>
  <si>
    <t>BAUME CYPRES</t>
  </si>
  <si>
    <t>BEROBEROKA</t>
  </si>
  <si>
    <t>BEURE DE KARITE</t>
  </si>
  <si>
    <t>CALCIUM MASY</t>
  </si>
  <si>
    <t>CATAPLASME</t>
  </si>
  <si>
    <t>COROFAR GM</t>
  </si>
  <si>
    <t>DESMOFAR GM</t>
  </si>
  <si>
    <t>DETOX</t>
  </si>
  <si>
    <t>EAU MICELLAIRE GM</t>
  </si>
  <si>
    <t>FANDRAVAGODRO</t>
  </si>
  <si>
    <t>FANJATONY</t>
  </si>
  <si>
    <t>G ARTICULATION</t>
  </si>
  <si>
    <t>HE CYPRES</t>
  </si>
  <si>
    <t>HE GERANIUM</t>
  </si>
  <si>
    <t>HODIPOTSY</t>
  </si>
  <si>
    <t>KINANA</t>
  </si>
  <si>
    <t>KOMIMA</t>
  </si>
  <si>
    <t>KOMIMA CANCER</t>
  </si>
  <si>
    <t>LOTION INTIME</t>
  </si>
  <si>
    <t>MADEGLUCYL</t>
  </si>
  <si>
    <t>MADETONYL</t>
  </si>
  <si>
    <t>MADETUSSYL</t>
  </si>
  <si>
    <t>MASY PAGYL</t>
  </si>
  <si>
    <t>MIEL</t>
  </si>
  <si>
    <t>NONI GM</t>
  </si>
  <si>
    <t>OAC</t>
  </si>
  <si>
    <t>ODY VATO</t>
  </si>
  <si>
    <t>OFA</t>
  </si>
  <si>
    <t>OFM</t>
  </si>
  <si>
    <t>PROTOFAR GM</t>
  </si>
  <si>
    <t>REVITALISANT</t>
  </si>
  <si>
    <t xml:space="preserve">SAVON AMINC </t>
  </si>
  <si>
    <t>SAVON REP</t>
  </si>
  <si>
    <t>SPIRULINE</t>
  </si>
  <si>
    <t>SPRAY</t>
  </si>
  <si>
    <t>TANJAKA</t>
  </si>
  <si>
    <t>TANJAKA PLUS</t>
  </si>
  <si>
    <t>VINAIGRE GM</t>
  </si>
  <si>
    <t>VINAIGRE PM</t>
  </si>
  <si>
    <t xml:space="preserve">SAVON VAHONA </t>
  </si>
  <si>
    <t>SAVON MANAZAVA</t>
  </si>
  <si>
    <t>SAVON ACNE</t>
  </si>
  <si>
    <t>BOIS DE ROSE</t>
  </si>
  <si>
    <t>VOAMBOATAVO GM</t>
  </si>
  <si>
    <t>KAPIKACHU</t>
  </si>
  <si>
    <t>KARELA</t>
  </si>
  <si>
    <t>PUNARNAVA</t>
  </si>
  <si>
    <t>GUDICHI</t>
  </si>
  <si>
    <t>OMEGA DIABETA</t>
  </si>
  <si>
    <t>ANTI STRESS GM</t>
  </si>
  <si>
    <t>AVR  PM</t>
  </si>
  <si>
    <t>ASHVAGANDA</t>
  </si>
  <si>
    <t>ALBEN CP</t>
  </si>
  <si>
    <t>ALBEN SP</t>
  </si>
  <si>
    <t>BAUME ALAVONTO</t>
  </si>
  <si>
    <t>BAUME ANTI CELLULITE</t>
  </si>
  <si>
    <t>BAUME ANTIVIRUS</t>
  </si>
  <si>
    <t>BAUME CHAMPION</t>
  </si>
  <si>
    <t>BAUME KATRAFAY</t>
  </si>
  <si>
    <t>BAUME RAMBIA</t>
  </si>
  <si>
    <t>BAUME RAVITSARA</t>
  </si>
  <si>
    <t>CIRCULATION</t>
  </si>
  <si>
    <t>CREME COIFFANTE</t>
  </si>
  <si>
    <t>DERMAG GM</t>
  </si>
  <si>
    <t>EAU MICELLAIRE PM</t>
  </si>
  <si>
    <t xml:space="preserve">FANAZAVA </t>
  </si>
  <si>
    <t>HE HELICRISE</t>
  </si>
  <si>
    <t>HE RAVITSARA</t>
  </si>
  <si>
    <t>HE EUCALUPT</t>
  </si>
  <si>
    <t>MADETOXYL</t>
  </si>
  <si>
    <t>OMEGA GM</t>
  </si>
  <si>
    <t>OMEGA PM</t>
  </si>
  <si>
    <t>PROTOFAR PM</t>
  </si>
  <si>
    <t>SAVLAH</t>
  </si>
  <si>
    <t>SAVON ANTIRIDE</t>
  </si>
  <si>
    <t>VOAMBOATAVO PM</t>
  </si>
  <si>
    <t>BEROKA FAKANY</t>
  </si>
  <si>
    <t>ROIS DES HERBES</t>
  </si>
  <si>
    <t>MAGASINE</t>
  </si>
  <si>
    <t>TEST GLYCEMIE</t>
  </si>
  <si>
    <t>HE RADRIAKA</t>
  </si>
  <si>
    <t>ANALYSE</t>
  </si>
  <si>
    <t>CONSULTATION</t>
  </si>
  <si>
    <t>CONTRÔLE</t>
  </si>
  <si>
    <t>MRG</t>
  </si>
  <si>
    <t>VITAMINE C</t>
  </si>
  <si>
    <t>AUTRES</t>
  </si>
  <si>
    <t>PREDNI 50G</t>
  </si>
  <si>
    <t>INJECTION</t>
  </si>
  <si>
    <t>AMPI INJ</t>
  </si>
  <si>
    <t>DICLO</t>
  </si>
  <si>
    <t>HEPATITE B</t>
  </si>
  <si>
    <t>CHARBON</t>
  </si>
  <si>
    <t>MASSAGE PARTIEL</t>
  </si>
  <si>
    <t>ARINA</t>
  </si>
  <si>
    <t>THE OLIVE</t>
  </si>
  <si>
    <t>MASSAGE RELAXANT</t>
  </si>
  <si>
    <t>NIM 100</t>
  </si>
  <si>
    <t>CHLORPHENIRAMINE</t>
  </si>
  <si>
    <t>OPRAL 20MG</t>
  </si>
  <si>
    <t>PARACETAMOL 500MG</t>
  </si>
  <si>
    <t>AMOXICILINE 500MG</t>
  </si>
  <si>
    <t>CIPROFLOXACINE 500MG</t>
  </si>
  <si>
    <t>METRONIS 500MG</t>
  </si>
  <si>
    <t>PREDISOLONE 5MG</t>
  </si>
  <si>
    <t>VITAMINE C 500MG</t>
  </si>
  <si>
    <t>PARACETAMOL 1G</t>
  </si>
  <si>
    <t>VITAMINE C INJECTION 500MG</t>
  </si>
  <si>
    <t>AMPIBACT 1G INJECTION</t>
  </si>
  <si>
    <t>DEXA INJECTION 4MG</t>
  </si>
  <si>
    <t>BECILAN INJECTION 250MG</t>
  </si>
  <si>
    <t>COMPLEX B INJECTION</t>
  </si>
  <si>
    <t>DICLO INJECTION 75MG</t>
  </si>
  <si>
    <t>CALCIUM INJECTION 10%</t>
  </si>
  <si>
    <t>CHLORURE DE SODIUM 0,9%</t>
  </si>
  <si>
    <t>GLUCOSE 5%</t>
  </si>
  <si>
    <t>LASUNA</t>
  </si>
  <si>
    <t>CONFIDO</t>
  </si>
  <si>
    <t>SERINGUE 5CC</t>
  </si>
  <si>
    <t>SERINGUE10CC</t>
  </si>
  <si>
    <t>SERINGUE 20CC</t>
  </si>
  <si>
    <t>MICROPERFUSEUR BLEU</t>
  </si>
  <si>
    <t>PERFUSSEUR</t>
  </si>
  <si>
    <t>COTON 200G</t>
  </si>
  <si>
    <t>THE CANELLE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</si>
</sst>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>
    <font>
      <sz val="11"/>
      <color theme="1"/>
      <name val="Calibri"/>
      <charset val="134"/>
      <scheme val="minor"/>
    </font>
    <font>
      <sz val="11"/>
      <color rgb="FFFF000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8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color theme="8" tint="-0.249977111117893"/>
      <name val="Calibri"/>
      <family val="2"/>
      <scheme val="minor"/>
    </font>
    <font>
      <b/>
      <sz val="11"/>
      <color theme="9" tint="-0.249977111117893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rgb="FF7030A0"/>
      <name val="Calibri"/>
      <family val="2"/>
      <scheme val="minor"/>
    </font>
    <font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5">
    <xf numFmtId="0" fontId="0" fillId="0" borderId="0"/>
    <xf numFmtId="0" fontId="4" fillId="2" borderId="0" applyNumberFormat="0" applyBorder="0" applyAlignment="0" applyProtection="0"/>
    <xf numFmtId="0" fontId="5" fillId="4" borderId="0" applyNumberFormat="0" applyBorder="0" applyAlignment="0" applyProtection="0"/>
    <xf numFmtId="0" fontId="6" fillId="3" borderId="0" applyNumberFormat="0" applyBorder="0" applyAlignment="0" applyProtection="0"/>
    <xf numFmtId="0" fontId="7" fillId="5" borderId="0" applyNumberFormat="0" applyBorder="0" applyAlignment="0" applyProtection="0"/>
  </cellStyleXfs>
  <cellXfs count="28">
    <xf numFmtId="0" fontId="0" fillId="0" borderId="0" xfId="0"/>
    <xf numFmtId="0" fontId="1" fillId="0" borderId="0" xfId="0" applyFont="1"/>
    <xf numFmtId="0" fontId="2" fillId="0" borderId="1" xfId="0" applyFont="1" applyBorder="1"/>
    <xf numFmtId="0" fontId="3" fillId="0" borderId="1" xfId="0" applyFont="1" applyBorder="1"/>
    <xf numFmtId="3" fontId="0" fillId="0" borderId="0" xfId="0" applyNumberFormat="1"/>
    <xf numFmtId="3" fontId="13" fillId="0" borderId="0" xfId="0" applyNumberFormat="1" applyFont="1"/>
    <xf numFmtId="0" fontId="6" fillId="0" borderId="0" xfId="3" applyFill="1" applyBorder="1"/>
    <xf numFmtId="3" fontId="0" fillId="0" borderId="0" xfId="0" applyNumberFormat="1" applyAlignment="1">
      <alignment horizontal="center" vertical="center"/>
    </xf>
    <xf numFmtId="3" fontId="4" fillId="0" borderId="0" xfId="1" applyNumberFormat="1" applyFill="1" applyBorder="1" applyAlignment="1">
      <alignment horizontal="center" vertical="center"/>
    </xf>
    <xf numFmtId="0" fontId="5" fillId="0" borderId="0" xfId="2" applyFill="1" applyBorder="1"/>
    <xf numFmtId="0" fontId="7" fillId="0" borderId="0" xfId="4" applyFill="1" applyBorder="1"/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3" fontId="6" fillId="0" borderId="0" xfId="3" applyNumberFormat="1" applyFill="1" applyBorder="1"/>
    <xf numFmtId="3" fontId="5" fillId="0" borderId="0" xfId="2" applyNumberFormat="1" applyFill="1" applyBorder="1"/>
    <xf numFmtId="3" fontId="7" fillId="0" borderId="0" xfId="4" applyNumberFormat="1" applyFill="1" applyBorder="1"/>
    <xf numFmtId="0" fontId="0" fillId="0" borderId="1" xfId="0" applyBorder="1"/>
    <xf numFmtId="16" fontId="0" fillId="0" borderId="0" xfId="0" applyNumberFormat="1"/>
    <xf numFmtId="0" fontId="0" fillId="0" borderId="0" xfId="0"/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5">
    <cellStyle name="Accent1" xfId="4" builtinId="29"/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2" defaultPivotStyle="PivotStyleLight16"/>
  <colors>
    <mruColors>
      <color rgb="FFCCFFCC"/>
      <color rgb="FFD0CCEA"/>
      <color rgb="FFE6EAFE"/>
      <color rgb="FFD9FEB8"/>
      <color rgb="FFFEF7E6"/>
      <color rgb="FFFFEFFD"/>
      <color rgb="FFCBF5FD"/>
      <color rgb="FFFCFCA6"/>
      <color rgb="FFE4E4E4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theme" Target="theme/theme1.xml"/><Relationship Id="rId30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E117"/>
  <sheetViews>
    <sheetView zoomScale="95" zoomScaleNormal="95" workbookViewId="0">
      <pane xSplit="1" ySplit="2" topLeftCell="B3" activePane="bottomRight" state="frozen"/>
      <selection activeCell="AU30" sqref="AU30"/>
      <selection pane="topRight" activeCell="AU30" sqref="AU30"/>
      <selection pane="bottomLeft" activeCell="AU30" sqref="AU30"/>
      <selection pane="bottomRight" activeCell="K36" sqref="K36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B3" s="19">
        <v>11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5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11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9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4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15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3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5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8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6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7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15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4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11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7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33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6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5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4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9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7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27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6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9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5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1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9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5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7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2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4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4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5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3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8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1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14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22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8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8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3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8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18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6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6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3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10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13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9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6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5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21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15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EB1:EB2"/>
    <mergeCell ref="EC1:EC2"/>
    <mergeCell ref="ED1:ED2"/>
    <mergeCell ref="EE1:EE2"/>
    <mergeCell ref="DD1:DG1"/>
    <mergeCell ref="DH1:DK1"/>
    <mergeCell ref="DL1:DO1"/>
    <mergeCell ref="DP1:DS1"/>
    <mergeCell ref="DT1:DW1"/>
    <mergeCell ref="EA1:EA2"/>
    <mergeCell ref="DX2:DY2"/>
    <mergeCell ref="AR1:AU1"/>
    <mergeCell ref="AV1:AY1"/>
    <mergeCell ref="BT1:BW1"/>
    <mergeCell ref="BX1:CA1"/>
    <mergeCell ref="CB1:CE1"/>
    <mergeCell ref="AZ1:BC1"/>
    <mergeCell ref="BD1:BG1"/>
    <mergeCell ref="BH1:BK1"/>
    <mergeCell ref="BL1:BO1"/>
    <mergeCell ref="BP1:BS1"/>
    <mergeCell ref="X1:AA1"/>
    <mergeCell ref="AB1:AE1"/>
    <mergeCell ref="AF1:AI1"/>
    <mergeCell ref="AJ1:AM1"/>
    <mergeCell ref="AN1:AQ1"/>
    <mergeCell ref="D1:G1"/>
    <mergeCell ref="H1:K1"/>
    <mergeCell ref="L1:O1"/>
    <mergeCell ref="P1:S1"/>
    <mergeCell ref="T1:W1"/>
    <mergeCell ref="CZ1:DC1"/>
    <mergeCell ref="CF1:CI1"/>
    <mergeCell ref="CJ1:CM1"/>
    <mergeCell ref="CN1:CQ1"/>
    <mergeCell ref="CR1:CU1"/>
    <mergeCell ref="CV1:CY1"/>
  </mergeCells>
  <pageMargins left="0.25" right="0.25" top="0.75" bottom="0.75" header="0.3" footer="0.3"/>
  <pageSetup paperSize="9" scale="8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E119"/>
  <sheetViews>
    <sheetView topLeftCell="A61" workbookViewId="0">
      <pane xSplit="1" topLeftCell="B1" activePane="topRight" state="frozen"/>
      <selection pane="topRight" activeCell="B84" sqref="A1:XFD1048576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B3" s="19">
        <v>4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9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9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8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8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4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9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5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11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8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6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9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6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6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9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4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10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10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2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B32" s="19">
        <v>1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5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4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7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6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9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25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7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2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8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13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5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6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1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2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4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7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7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6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4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8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4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B66" s="19">
        <v>1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13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11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5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6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11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8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13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5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2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4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1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3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10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9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3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8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5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14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13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EE1:EE2"/>
    <mergeCell ref="DD1:DG1"/>
    <mergeCell ref="DH1:DK1"/>
    <mergeCell ref="DL1:DO1"/>
    <mergeCell ref="DP1:DS1"/>
    <mergeCell ref="DT1:DW1"/>
    <mergeCell ref="DX2:DY2"/>
    <mergeCell ref="EA1:EA2"/>
    <mergeCell ref="EB1:EB2"/>
    <mergeCell ref="EC1:EC2"/>
    <mergeCell ref="ED1:ED2"/>
    <mergeCell ref="CJ1:CM1"/>
    <mergeCell ref="CN1:CQ1"/>
    <mergeCell ref="CR1:CU1"/>
    <mergeCell ref="CV1:CY1"/>
    <mergeCell ref="CZ1:DC1"/>
    <mergeCell ref="D1:G1"/>
    <mergeCell ref="H1:K1"/>
    <mergeCell ref="L1:O1"/>
    <mergeCell ref="P1:S1"/>
    <mergeCell ref="AN1:AQ1"/>
    <mergeCell ref="T1:W1"/>
    <mergeCell ref="X1:AA1"/>
    <mergeCell ref="AB1:AE1"/>
    <mergeCell ref="AF1:AI1"/>
    <mergeCell ref="AJ1:AM1"/>
    <mergeCell ref="CF1:CI1"/>
    <mergeCell ref="AR1:AU1"/>
    <mergeCell ref="AV1:AY1"/>
    <mergeCell ref="AZ1:BC1"/>
    <mergeCell ref="BX1:CA1"/>
    <mergeCell ref="CB1:CE1"/>
    <mergeCell ref="BD1:BG1"/>
    <mergeCell ref="BH1:BK1"/>
    <mergeCell ref="BL1:BO1"/>
    <mergeCell ref="BP1:BS1"/>
    <mergeCell ref="BT1:BW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E119"/>
  <sheetViews>
    <sheetView zoomScaleNormal="100" workbookViewId="0">
      <pane xSplit="2" ySplit="2" topLeftCell="C60" activePane="bottomRight" state="frozen"/>
      <selection activeCell="AU30" sqref="AU30"/>
      <selection pane="topRight" activeCell="AU30" sqref="AU30"/>
      <selection pane="bottomLeft" activeCell="AU30" sqref="AU30"/>
      <selection pane="bottomRight" activeCell="J72" sqref="A1:XFD1048576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B3" s="19">
        <v>6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21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3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13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5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11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2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6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19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12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17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20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7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8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3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10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8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6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28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19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10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11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3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3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4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1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11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23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35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8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20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10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13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7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8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6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5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14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8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6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8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9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15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E119"/>
  <sheetViews>
    <sheetView zoomScaleNormal="100" workbookViewId="0">
      <pane xSplit="2" ySplit="2" topLeftCell="C48" activePane="bottomRight" state="frozen"/>
      <selection sqref="A1:XFD1048576"/>
      <selection pane="topRight" sqref="A1:XFD1048576"/>
      <selection pane="bottomLeft" sqref="A1:XFD1048576"/>
      <selection pane="bottomRight" activeCell="B72" sqref="B72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B3" s="19">
        <v>8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4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8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8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4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3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4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8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7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4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5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11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4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9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11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7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2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2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8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8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9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13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4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7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7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B43" s="19">
        <v>1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16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B47" s="19">
        <v>2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5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B49" s="19">
        <v>2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6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5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2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9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7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2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1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2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2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8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11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6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9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10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9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18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1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6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1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7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5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3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13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6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E119"/>
  <sheetViews>
    <sheetView topLeftCell="A56" zoomScale="85" zoomScaleNormal="85" workbookViewId="0">
      <pane xSplit="1" topLeftCell="B1" activePane="topRight" state="frozen"/>
      <selection pane="topRight" activeCell="B92" sqref="B92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B3" s="19">
        <v>3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9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9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4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5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5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12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8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4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6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9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6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5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3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16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2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16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6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5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2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4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5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4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12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3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8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2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B43" s="19">
        <v>2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8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2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3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7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4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7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6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2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6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2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B67" s="19">
        <v>1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3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6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7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5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7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6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7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3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3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11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7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6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7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9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12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12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EE1:EE2"/>
    <mergeCell ref="DD1:DG1"/>
    <mergeCell ref="DH1:DK1"/>
    <mergeCell ref="DL1:DO1"/>
    <mergeCell ref="DP1:DS1"/>
    <mergeCell ref="DT1:DW1"/>
    <mergeCell ref="DX2:DY2"/>
    <mergeCell ref="EA1:EA2"/>
    <mergeCell ref="EB1:EB2"/>
    <mergeCell ref="EC1:EC2"/>
    <mergeCell ref="ED1:ED2"/>
    <mergeCell ref="CJ1:CM1"/>
    <mergeCell ref="CN1:CQ1"/>
    <mergeCell ref="CR1:CU1"/>
    <mergeCell ref="CV1:CY1"/>
    <mergeCell ref="CZ1:DC1"/>
    <mergeCell ref="CB1:CE1"/>
    <mergeCell ref="CF1:CI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  <mergeCell ref="D1:G1"/>
    <mergeCell ref="H1:K1"/>
    <mergeCell ref="L1:O1"/>
    <mergeCell ref="P1:S1"/>
    <mergeCell ref="BX1:CA1"/>
    <mergeCell ref="T1:W1"/>
    <mergeCell ref="X1:AA1"/>
    <mergeCell ref="AB1:AE1"/>
    <mergeCell ref="AF1:AI1"/>
    <mergeCell ref="AJ1:AM1"/>
  </mergeCells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E119"/>
  <sheetViews>
    <sheetView workbookViewId="0">
      <pane xSplit="1" ySplit="2" topLeftCell="B3" activePane="bottomRight" state="frozen"/>
      <selection activeCell="BA56" sqref="BA56"/>
      <selection pane="topRight" activeCell="BA56" sqref="BA56"/>
      <selection pane="bottomLeft" activeCell="BA56" sqref="BA56"/>
      <selection pane="bottomRight" activeCell="AA54" sqref="AA54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B3" s="19">
        <v>12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3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7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4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7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8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11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5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7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19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5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15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2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9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3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11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13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3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5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8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8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4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33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14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8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11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B43" s="19">
        <v>2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4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4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4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B49" s="19">
        <v>1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6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5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4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2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6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4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5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14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5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12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B66" s="19">
        <v>1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11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20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7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7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10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B74" s="19">
        <v>1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18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18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1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5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3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4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13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6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10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6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3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16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16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7DD2D-9713-4B96-B8A7-4A07C7DE185B}">
  <dimension ref="A1:EE119"/>
  <sheetViews>
    <sheetView topLeftCell="A22" workbookViewId="0">
      <selection activeCell="B51" sqref="A1:XFD1048576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B3" s="19">
        <v>9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10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10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10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9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10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10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10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4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9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9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4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16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5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10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10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10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4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17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10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10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10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10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5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4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3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5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5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5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5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3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4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9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10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7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5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7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6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8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9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5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10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10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AV1:AY1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CR1:CU1"/>
    <mergeCell ref="AZ1:BC1"/>
    <mergeCell ref="BD1:BG1"/>
    <mergeCell ref="BH1:BK1"/>
    <mergeCell ref="BL1:BO1"/>
    <mergeCell ref="BP1:BS1"/>
    <mergeCell ref="BT1:BW1"/>
    <mergeCell ref="BX1:CA1"/>
    <mergeCell ref="CB1:CE1"/>
    <mergeCell ref="CF1:CI1"/>
    <mergeCell ref="CJ1:CM1"/>
    <mergeCell ref="CN1:CQ1"/>
    <mergeCell ref="EE1:EE2"/>
    <mergeCell ref="DX2:DY2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E117"/>
  <sheetViews>
    <sheetView zoomScale="85" zoomScaleNormal="85" workbookViewId="0">
      <pane xSplit="2" ySplit="2" topLeftCell="C88" activePane="bottomRight" state="frozen"/>
      <selection pane="topRight"/>
      <selection pane="bottomLeft"/>
      <selection pane="bottomRight" activeCell="B91" sqref="A1:XFD1048576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9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4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7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7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15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6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4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4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4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3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12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10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2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10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7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3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3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4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7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21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6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7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3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B43" s="19">
        <v>2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3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6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6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4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5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1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6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3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4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10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12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18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7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1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5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7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14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2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3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7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4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5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5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14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E121"/>
  <sheetViews>
    <sheetView topLeftCell="A84" workbookViewId="0">
      <pane xSplit="1" topLeftCell="B1" activePane="topRight" state="frozen"/>
      <selection pane="topRight" activeCell="AC119" sqref="AC119"/>
    </sheetView>
  </sheetViews>
  <sheetFormatPr defaultColWidth="11.42578125" defaultRowHeight="15"/>
  <cols>
    <col min="1" max="1" width="21.7109375" style="2" customWidth="1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0</v>
      </c>
      <c r="F3" s="5"/>
      <c r="J3" s="5"/>
      <c r="N3" s="5"/>
      <c r="R3" s="5"/>
      <c r="V3" s="5"/>
      <c r="Z3" s="5"/>
      <c r="AD3" s="5"/>
      <c r="AH3" s="5"/>
      <c r="AL3" s="5"/>
      <c r="AP3" s="5"/>
      <c r="AT3" s="5"/>
      <c r="AX3" s="5"/>
      <c r="BB3" s="5"/>
      <c r="BF3" s="5"/>
      <c r="BJ3" s="5"/>
      <c r="BN3" s="5"/>
      <c r="BR3" s="5"/>
      <c r="BV3" s="5"/>
      <c r="BZ3" s="5"/>
      <c r="CD3" s="5"/>
      <c r="CH3" s="5"/>
      <c r="CL3" s="5"/>
      <c r="CP3" s="5"/>
      <c r="CT3" s="5"/>
      <c r="CX3" s="5"/>
      <c r="DB3" s="5"/>
      <c r="DF3" s="5"/>
      <c r="DJ3" s="5"/>
      <c r="DN3" s="5"/>
      <c r="DR3" s="5"/>
      <c r="DV3" s="5"/>
    </row>
    <row r="4" spans="1:135">
      <c r="A4" s="2" t="s">
        <v>1</v>
      </c>
    </row>
    <row r="5" spans="1:135">
      <c r="A5" s="2" t="s">
        <v>2</v>
      </c>
      <c r="B5">
        <v>8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3</v>
      </c>
      <c r="B6">
        <v>8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4</v>
      </c>
      <c r="B7">
        <v>8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5</v>
      </c>
      <c r="B8">
        <v>4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</v>
      </c>
      <c r="B9">
        <v>6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62</v>
      </c>
      <c r="B10">
        <v>4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63</v>
      </c>
      <c r="B11">
        <v>18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7</v>
      </c>
      <c r="B12">
        <v>0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8</v>
      </c>
      <c r="B13">
        <v>5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9</v>
      </c>
      <c r="B14">
        <v>4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64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65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66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94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94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10</v>
      </c>
      <c r="B20">
        <v>5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67</v>
      </c>
      <c r="B21">
        <v>6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68</v>
      </c>
      <c r="B22">
        <v>7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69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70</v>
      </c>
      <c r="B24">
        <v>5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13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71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11</v>
      </c>
      <c r="B27">
        <v>8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12</v>
      </c>
      <c r="B28">
        <v>8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72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73</v>
      </c>
      <c r="B30">
        <v>2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14</v>
      </c>
      <c r="B31">
        <v>24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15</v>
      </c>
      <c r="B32">
        <v>7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55</v>
      </c>
      <c r="B33">
        <v>3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89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16</v>
      </c>
      <c r="B35">
        <v>5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17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74</v>
      </c>
      <c r="B37">
        <v>3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18</v>
      </c>
      <c r="B38">
        <v>5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75</v>
      </c>
      <c r="B39">
        <v>3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95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76</v>
      </c>
      <c r="B41">
        <v>7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19</v>
      </c>
      <c r="B42">
        <v>34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20</v>
      </c>
      <c r="B43">
        <v>12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96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21</v>
      </c>
      <c r="B45">
        <v>5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77</v>
      </c>
      <c r="B46">
        <v>7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78</v>
      </c>
      <c r="B47">
        <v>5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22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23</v>
      </c>
      <c r="B49">
        <v>1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24</v>
      </c>
      <c r="B50">
        <v>2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60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25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26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100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79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101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93</v>
      </c>
      <c r="B57">
        <v>7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80</v>
      </c>
      <c r="B58">
        <v>3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102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27</v>
      </c>
      <c r="B60">
        <v>2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103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81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28</v>
      </c>
      <c r="B63">
        <v>3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29</v>
      </c>
      <c r="B64">
        <v>2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30</v>
      </c>
      <c r="B65">
        <v>3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57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58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31</v>
      </c>
      <c r="B68">
        <v>7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32</v>
      </c>
      <c r="B69">
        <v>4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82</v>
      </c>
      <c r="B70">
        <v>5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34</v>
      </c>
      <c r="B71">
        <v>3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35</v>
      </c>
      <c r="B72">
        <v>1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36</v>
      </c>
      <c r="B73">
        <v>2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33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91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37</v>
      </c>
      <c r="B76">
        <v>7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97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38</v>
      </c>
      <c r="B78">
        <v>1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39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40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26">
      <c r="A81" s="2" t="s">
        <v>41</v>
      </c>
      <c r="B81">
        <v>1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26">
      <c r="A82" s="2" t="s">
        <v>83</v>
      </c>
      <c r="B82">
        <v>10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26">
      <c r="A83" s="2" t="s">
        <v>84</v>
      </c>
      <c r="B83">
        <v>12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26">
      <c r="A84" s="2" t="s">
        <v>61</v>
      </c>
      <c r="B84">
        <v>10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26">
      <c r="A85" s="2" t="s">
        <v>106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26">
      <c r="A86" s="2" t="s">
        <v>109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26">
      <c r="A87" s="2" t="s">
        <v>42</v>
      </c>
      <c r="B87">
        <v>2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26">
      <c r="A88" s="2" t="s">
        <v>85</v>
      </c>
      <c r="B88">
        <v>2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26">
      <c r="A89" s="2" t="s">
        <v>59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26">
      <c r="A90" s="2" t="s">
        <v>107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26">
      <c r="A91" s="2" t="s">
        <v>104</v>
      </c>
      <c r="J91" s="4"/>
      <c r="N91" s="4"/>
      <c r="R91" s="4"/>
      <c r="V91" s="4"/>
      <c r="Z91" s="4"/>
      <c r="AD91" s="4"/>
      <c r="AH91" s="4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26">
      <c r="A92" s="2" t="s">
        <v>98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26">
      <c r="A93" s="2" t="s">
        <v>99</v>
      </c>
      <c r="J93" s="4"/>
      <c r="N93" s="4"/>
      <c r="R93" s="4"/>
      <c r="V93" s="4"/>
      <c r="Z93" s="4"/>
      <c r="AD93" s="4"/>
      <c r="AH93" s="4"/>
      <c r="AL93" s="4"/>
      <c r="AP93" s="4"/>
      <c r="AT93" s="4"/>
      <c r="AX93" s="4"/>
      <c r="BB93" s="4"/>
      <c r="BF93" s="4"/>
      <c r="BJ93" s="4"/>
      <c r="BN93" s="4"/>
      <c r="BR93" s="4"/>
      <c r="BV93" s="4"/>
      <c r="BZ93" s="4"/>
      <c r="CD93" s="4"/>
      <c r="CH93" s="4"/>
      <c r="CL93" s="4"/>
      <c r="CP93" s="4"/>
      <c r="CT93" s="4"/>
      <c r="CX93" s="4"/>
      <c r="DB93" s="4"/>
      <c r="DF93" s="4"/>
      <c r="DJ93" s="4"/>
      <c r="DN93" s="4"/>
      <c r="DR93" s="4"/>
      <c r="DV93" s="4"/>
    </row>
    <row r="94" spans="1:126">
      <c r="A94" s="2" t="s">
        <v>43</v>
      </c>
      <c r="B94">
        <v>13</v>
      </c>
      <c r="J94" s="4"/>
      <c r="N94" s="4"/>
      <c r="R94" s="4"/>
      <c r="V94" s="4"/>
      <c r="Z94" s="4"/>
      <c r="AD94" s="4"/>
      <c r="AH94" s="4"/>
      <c r="AL94" s="4"/>
      <c r="AP94" s="4"/>
      <c r="AT94" s="4"/>
      <c r="AX94" s="4"/>
      <c r="BB94" s="4"/>
      <c r="BF94" s="4"/>
      <c r="BJ94" s="4"/>
      <c r="BN94" s="4"/>
      <c r="BR94" s="4"/>
      <c r="BV94" s="4"/>
      <c r="BZ94" s="4"/>
      <c r="CD94" s="4"/>
      <c r="CH94" s="4"/>
      <c r="CL94" s="4"/>
      <c r="CP94" s="4"/>
      <c r="CT94" s="4"/>
      <c r="CX94" s="4"/>
      <c r="DB94" s="4"/>
      <c r="DF94" s="4"/>
      <c r="DJ94" s="4"/>
      <c r="DN94" s="4"/>
      <c r="DR94" s="4"/>
      <c r="DV94" s="4"/>
    </row>
    <row r="95" spans="1:126">
      <c r="A95" s="2" t="s">
        <v>86</v>
      </c>
      <c r="B95">
        <v>17</v>
      </c>
      <c r="J95" s="4"/>
      <c r="N95" s="4"/>
      <c r="R95" s="4"/>
      <c r="V95" s="4"/>
      <c r="Z95" s="4"/>
      <c r="AD95" s="4"/>
      <c r="AH95" s="4"/>
      <c r="AL95" s="4"/>
      <c r="AP95" s="4"/>
      <c r="AT95" s="4"/>
      <c r="AX95" s="4"/>
      <c r="BB95" s="4"/>
      <c r="BF95" s="4"/>
      <c r="BJ95" s="4"/>
      <c r="BN95" s="4"/>
      <c r="BR95" s="4"/>
      <c r="BV95" s="4"/>
      <c r="BZ95" s="4"/>
      <c r="CD95" s="4"/>
      <c r="CH95" s="4"/>
      <c r="CL95" s="4"/>
      <c r="CP95" s="4"/>
      <c r="CT95" s="4"/>
      <c r="CX95" s="4"/>
      <c r="DB95" s="4"/>
      <c r="DF95" s="4"/>
      <c r="DJ95" s="4"/>
      <c r="DN95" s="4"/>
      <c r="DR95" s="4"/>
      <c r="DV95" s="4"/>
    </row>
    <row r="96" spans="1:126">
      <c r="A96" s="2" t="s">
        <v>54</v>
      </c>
      <c r="B96">
        <v>3</v>
      </c>
      <c r="J96" s="4"/>
      <c r="N96" s="4"/>
      <c r="R96" s="4"/>
      <c r="V96" s="4"/>
      <c r="Z96" s="4"/>
      <c r="AD96" s="4"/>
      <c r="AH96" s="4"/>
      <c r="AL96" s="4"/>
      <c r="AP96" s="4"/>
      <c r="AT96" s="4"/>
      <c r="AX96" s="4"/>
      <c r="BB96" s="4"/>
      <c r="BF96" s="4"/>
      <c r="BJ96" s="4"/>
      <c r="BN96" s="4"/>
      <c r="BR96" s="4"/>
      <c r="BV96" s="4"/>
      <c r="BZ96" s="4"/>
      <c r="CD96" s="4"/>
      <c r="CH96" s="4"/>
      <c r="CL96" s="4"/>
      <c r="CP96" s="4"/>
      <c r="CT96" s="4"/>
      <c r="CX96" s="4"/>
      <c r="DB96" s="4"/>
      <c r="DF96" s="4"/>
      <c r="DJ96" s="4"/>
      <c r="DN96" s="4"/>
      <c r="DR96" s="4"/>
      <c r="DV96" s="4"/>
    </row>
    <row r="97" spans="1:126">
      <c r="A97" s="2" t="s">
        <v>44</v>
      </c>
      <c r="J97" s="4"/>
      <c r="N97" s="4"/>
      <c r="R97" s="4"/>
      <c r="V97" s="4"/>
      <c r="Z97" s="4"/>
      <c r="AD97" s="4"/>
      <c r="AH97" s="4"/>
      <c r="AL97" s="4"/>
      <c r="AP97" s="4"/>
      <c r="AT97" s="4"/>
      <c r="AX97" s="4"/>
      <c r="BB97" s="4"/>
      <c r="BF97" s="4"/>
      <c r="BJ97" s="4"/>
      <c r="BN97" s="4"/>
      <c r="BR97" s="4"/>
      <c r="BV97" s="4"/>
      <c r="BZ97" s="4"/>
      <c r="CD97" s="4"/>
      <c r="CH97" s="4"/>
      <c r="CL97" s="4"/>
      <c r="CP97" s="4"/>
      <c r="CT97" s="4"/>
      <c r="CX97" s="4"/>
      <c r="DB97" s="4"/>
      <c r="DF97" s="4"/>
      <c r="DJ97" s="4"/>
      <c r="DN97" s="4"/>
      <c r="DR97" s="4"/>
      <c r="DV97" s="4"/>
    </row>
    <row r="98" spans="1:126">
      <c r="A98" s="2" t="s">
        <v>87</v>
      </c>
      <c r="B98">
        <v>2</v>
      </c>
      <c r="J98" s="4"/>
      <c r="N98" s="4"/>
      <c r="R98" s="4"/>
      <c r="V98" s="4"/>
      <c r="Z98" s="4"/>
      <c r="AD98" s="4"/>
      <c r="AH98" s="4"/>
      <c r="AL98" s="4"/>
      <c r="AP98" s="4"/>
      <c r="AT98" s="4"/>
      <c r="AX98" s="4"/>
      <c r="BB98" s="4"/>
      <c r="BF98" s="4"/>
      <c r="BJ98" s="4"/>
      <c r="BN98" s="4"/>
      <c r="BR98" s="4"/>
      <c r="BV98" s="4"/>
      <c r="BZ98" s="4"/>
      <c r="CD98" s="4"/>
      <c r="CH98" s="4"/>
      <c r="CL98" s="4"/>
      <c r="CP98" s="4"/>
      <c r="CT98" s="4"/>
      <c r="CX98" s="4"/>
      <c r="DB98" s="4"/>
      <c r="DF98" s="4"/>
      <c r="DJ98" s="4"/>
      <c r="DN98" s="4"/>
      <c r="DR98" s="4"/>
      <c r="DV98" s="4"/>
    </row>
    <row r="99" spans="1:126">
      <c r="A99" s="2" t="s">
        <v>53</v>
      </c>
      <c r="J99" s="4"/>
      <c r="N99" s="4"/>
      <c r="R99" s="4"/>
      <c r="V99" s="4"/>
      <c r="Z99" s="4"/>
      <c r="AD99" s="4"/>
      <c r="AH99" s="4"/>
      <c r="AL99" s="4"/>
      <c r="AP99" s="4"/>
      <c r="AT99" s="4"/>
      <c r="AX99" s="4"/>
      <c r="BB99" s="4"/>
      <c r="BF99" s="4"/>
      <c r="BJ99" s="4"/>
      <c r="BN99" s="4"/>
      <c r="BR99" s="4"/>
      <c r="BV99" s="4"/>
      <c r="BZ99" s="4"/>
      <c r="CD99" s="4"/>
      <c r="CH99" s="4"/>
      <c r="CL99" s="4"/>
      <c r="CP99" s="4"/>
      <c r="CT99" s="4"/>
      <c r="CX99" s="4"/>
      <c r="DB99" s="4"/>
      <c r="DF99" s="4"/>
      <c r="DJ99" s="4"/>
      <c r="DN99" s="4"/>
      <c r="DR99" s="4"/>
      <c r="DV99" s="4"/>
    </row>
    <row r="100" spans="1:126">
      <c r="A100" s="2" t="s">
        <v>45</v>
      </c>
      <c r="J100" s="4"/>
      <c r="N100" s="4"/>
      <c r="R100" s="4"/>
      <c r="V100" s="4"/>
      <c r="Z100" s="4"/>
      <c r="AD100" s="4"/>
      <c r="AH100" s="4"/>
      <c r="AL100" s="4"/>
      <c r="AP100" s="4"/>
      <c r="AT100" s="4"/>
      <c r="AX100" s="4"/>
      <c r="BB100" s="4"/>
      <c r="BF100" s="4"/>
      <c r="BJ100" s="4"/>
      <c r="BN100" s="4"/>
      <c r="BR100" s="4"/>
      <c r="BV100" s="4"/>
      <c r="BZ100" s="4"/>
      <c r="CD100" s="4"/>
      <c r="CH100" s="4"/>
      <c r="CL100" s="4"/>
      <c r="CP100" s="4"/>
      <c r="CT100" s="4"/>
      <c r="CX100" s="4"/>
      <c r="DB100" s="4"/>
      <c r="DF100" s="4"/>
      <c r="DJ100" s="4"/>
      <c r="DN100" s="4"/>
      <c r="DR100" s="4"/>
      <c r="DV100" s="4"/>
    </row>
    <row r="101" spans="1:126">
      <c r="A101" s="2" t="s">
        <v>52</v>
      </c>
      <c r="B101">
        <v>2</v>
      </c>
      <c r="J101" s="4"/>
      <c r="N101" s="4"/>
      <c r="R101" s="4"/>
      <c r="V101" s="4"/>
      <c r="Z101" s="4"/>
      <c r="AD101" s="4"/>
      <c r="AH101" s="4"/>
      <c r="AL101" s="4"/>
      <c r="AP101" s="4"/>
      <c r="AT101" s="4"/>
      <c r="AX101" s="4"/>
      <c r="BB101" s="4"/>
      <c r="BF101" s="4"/>
      <c r="BJ101" s="4"/>
      <c r="BN101" s="4"/>
      <c r="BR101" s="4"/>
      <c r="BV101" s="4"/>
      <c r="BZ101" s="4"/>
      <c r="CD101" s="4"/>
      <c r="CH101" s="4"/>
      <c r="CL101" s="4"/>
      <c r="CP101" s="4"/>
      <c r="CT101" s="4"/>
      <c r="CX101" s="4"/>
      <c r="DB101" s="4"/>
      <c r="DF101" s="4"/>
      <c r="DJ101" s="4"/>
      <c r="DN101" s="4"/>
      <c r="DR101" s="4"/>
      <c r="DV101" s="4"/>
    </row>
    <row r="102" spans="1:126">
      <c r="A102" s="2" t="s">
        <v>90</v>
      </c>
      <c r="J102" s="4"/>
      <c r="N102" s="4"/>
      <c r="R102" s="4"/>
      <c r="V102" s="4"/>
      <c r="Z102" s="4"/>
      <c r="AD102" s="4"/>
      <c r="AH102" s="4"/>
      <c r="AL102" s="4"/>
      <c r="AP102" s="4"/>
      <c r="AT102" s="4"/>
      <c r="AX102" s="4"/>
      <c r="BB102" s="4"/>
      <c r="BF102" s="4"/>
      <c r="BJ102" s="4"/>
      <c r="BN102" s="4"/>
      <c r="BR102" s="4"/>
      <c r="BV102" s="4"/>
      <c r="BZ102" s="4"/>
      <c r="CD102" s="4"/>
      <c r="CH102" s="4"/>
      <c r="CL102" s="4"/>
      <c r="CP102" s="4"/>
      <c r="CT102" s="4"/>
      <c r="CX102" s="4"/>
      <c r="DB102" s="4"/>
      <c r="DF102" s="4"/>
      <c r="DJ102" s="4"/>
      <c r="DN102" s="4"/>
      <c r="DR102" s="4"/>
      <c r="DV102" s="4"/>
    </row>
    <row r="103" spans="1:126">
      <c r="A103" s="2" t="s">
        <v>47</v>
      </c>
      <c r="B103">
        <v>4</v>
      </c>
      <c r="J103" s="4"/>
      <c r="N103" s="4"/>
      <c r="R103" s="4"/>
      <c r="V103" s="4"/>
      <c r="Z103" s="4"/>
      <c r="AD103" s="4"/>
      <c r="AH103" s="4"/>
      <c r="AL103" s="4"/>
      <c r="AP103" s="4"/>
      <c r="AT103" s="4"/>
      <c r="AX103" s="4"/>
      <c r="BB103" s="4"/>
      <c r="BF103" s="4"/>
      <c r="BJ103" s="4"/>
      <c r="BN103" s="4"/>
      <c r="BR103" s="4"/>
      <c r="BT103" s="1"/>
      <c r="BV103" s="4"/>
      <c r="BZ103" s="4"/>
      <c r="CD103" s="4"/>
      <c r="CH103" s="4"/>
      <c r="CL103" s="4"/>
      <c r="CP103" s="4"/>
      <c r="CT103" s="4"/>
      <c r="CX103" s="4"/>
      <c r="DB103" s="4"/>
      <c r="DF103" s="4"/>
      <c r="DJ103" s="4"/>
      <c r="DN103" s="4"/>
      <c r="DR103" s="4"/>
      <c r="DV103" s="4"/>
    </row>
    <row r="104" spans="1:126">
      <c r="A104" s="2" t="s">
        <v>46</v>
      </c>
      <c r="B104">
        <v>10</v>
      </c>
      <c r="J104" s="4"/>
      <c r="N104" s="4"/>
      <c r="R104" s="4"/>
      <c r="V104" s="4"/>
      <c r="Z104" s="4"/>
      <c r="AD104" s="4"/>
      <c r="AH104" s="4"/>
      <c r="AL104" s="4"/>
      <c r="AP104" s="4"/>
      <c r="AT104" s="4"/>
      <c r="AX104" s="4"/>
      <c r="BB104" s="4"/>
      <c r="BF104" s="4"/>
      <c r="BJ104" s="4"/>
      <c r="BN104" s="4"/>
      <c r="BR104" s="4"/>
      <c r="BT104" s="1"/>
      <c r="BV104" s="4"/>
      <c r="BZ104" s="4"/>
      <c r="CD104" s="4"/>
      <c r="CH104" s="4"/>
      <c r="CL104" s="4"/>
      <c r="CP104" s="4"/>
      <c r="CT104" s="4"/>
      <c r="CX104" s="4"/>
      <c r="DB104" s="4"/>
      <c r="DF104" s="4"/>
      <c r="DJ104" s="4"/>
      <c r="DN104" s="4"/>
      <c r="DR104" s="4"/>
      <c r="DV104" s="4"/>
    </row>
    <row r="105" spans="1:126">
      <c r="A105" s="2" t="s">
        <v>105</v>
      </c>
      <c r="J105" s="4"/>
      <c r="N105" s="4"/>
      <c r="R105" s="4"/>
      <c r="V105" s="4"/>
      <c r="Z105" s="4"/>
      <c r="AD105" s="4"/>
      <c r="AH105" s="4"/>
      <c r="AL105" s="4"/>
      <c r="AP105" s="4"/>
      <c r="AT105" s="4"/>
      <c r="AX105" s="4"/>
      <c r="BB105" s="4"/>
      <c r="BF105" s="4"/>
      <c r="BJ105" s="4"/>
      <c r="BN105" s="4"/>
      <c r="BR105" s="4"/>
      <c r="BV105" s="4"/>
      <c r="BZ105" s="4"/>
      <c r="CD105" s="4"/>
      <c r="CH105" s="4"/>
      <c r="CL105" s="4"/>
      <c r="CP105" s="4"/>
      <c r="CT105" s="4"/>
      <c r="CX105" s="4"/>
      <c r="DB105" s="4"/>
      <c r="DF105" s="4"/>
      <c r="DJ105" s="4"/>
      <c r="DN105" s="4"/>
      <c r="DR105" s="4"/>
      <c r="DV105" s="4"/>
    </row>
    <row r="106" spans="1:126">
      <c r="A106" s="2" t="s">
        <v>92</v>
      </c>
      <c r="J106" s="4"/>
      <c r="N106" s="4"/>
      <c r="R106" s="4"/>
      <c r="V106" s="4"/>
      <c r="Z106" s="4"/>
      <c r="AD106" s="4"/>
      <c r="AH106" s="4"/>
      <c r="AL106" s="4"/>
      <c r="AP106" s="4"/>
      <c r="AT106" s="4"/>
      <c r="AX106" s="4"/>
      <c r="BB106" s="4"/>
      <c r="BF106" s="4"/>
      <c r="BJ106" s="4"/>
      <c r="BN106" s="4"/>
      <c r="BR106" s="4"/>
      <c r="BV106" s="4"/>
      <c r="BZ106" s="4"/>
      <c r="CD106" s="4"/>
      <c r="CH106" s="4"/>
      <c r="CL106" s="4"/>
      <c r="CP106" s="4"/>
      <c r="CT106" s="4"/>
      <c r="CX106" s="4"/>
      <c r="DB106" s="4"/>
      <c r="DF106" s="4"/>
      <c r="DJ106" s="4"/>
      <c r="DN106" s="4"/>
      <c r="DR106" s="4"/>
      <c r="DV106" s="4"/>
    </row>
    <row r="107" spans="1:126">
      <c r="A107" s="2" t="s">
        <v>48</v>
      </c>
      <c r="B107">
        <v>6</v>
      </c>
      <c r="J107" s="4"/>
      <c r="N107" s="4"/>
      <c r="R107" s="4"/>
      <c r="V107" s="4"/>
      <c r="Z107" s="4"/>
      <c r="AD107" s="4"/>
      <c r="AH107" s="4"/>
      <c r="AL107" s="4"/>
      <c r="AP107" s="4"/>
      <c r="AT107" s="4"/>
      <c r="AX107" s="4"/>
      <c r="BB107" s="4"/>
      <c r="BF107" s="4"/>
      <c r="BJ107" s="4"/>
      <c r="BN107" s="4"/>
      <c r="BR107" s="4"/>
      <c r="BV107" s="4"/>
      <c r="BZ107" s="4"/>
      <c r="CD107" s="4"/>
      <c r="CH107" s="4"/>
      <c r="CL107" s="4"/>
      <c r="CP107" s="4"/>
      <c r="CT107" s="4"/>
      <c r="CX107" s="4"/>
      <c r="DB107" s="4"/>
      <c r="DF107" s="4"/>
      <c r="DJ107" s="4"/>
      <c r="DN107" s="4"/>
      <c r="DR107" s="4"/>
      <c r="DV107" s="4"/>
    </row>
    <row r="108" spans="1:126">
      <c r="A108" s="2" t="s">
        <v>49</v>
      </c>
      <c r="B108">
        <v>4</v>
      </c>
      <c r="J108" s="4"/>
      <c r="N108" s="4"/>
      <c r="R108" s="4"/>
      <c r="V108" s="4"/>
      <c r="Z108" s="4"/>
      <c r="AD108" s="4"/>
      <c r="AH108" s="4"/>
      <c r="AL108" s="4"/>
      <c r="AP108" s="4"/>
      <c r="AT108" s="4"/>
      <c r="AX108" s="4"/>
      <c r="BB108" s="4"/>
      <c r="BF108" s="4"/>
      <c r="BJ108" s="4"/>
      <c r="BN108" s="4"/>
      <c r="BR108" s="4"/>
      <c r="BV108" s="4"/>
      <c r="BZ108" s="4"/>
      <c r="CD108" s="4"/>
      <c r="CH108" s="4"/>
      <c r="CL108" s="4"/>
      <c r="CP108" s="4"/>
      <c r="CT108" s="4"/>
      <c r="CX108" s="4"/>
      <c r="DB108" s="4"/>
      <c r="DF108" s="4"/>
      <c r="DJ108" s="4"/>
      <c r="DN108" s="4"/>
      <c r="DR108" s="4"/>
      <c r="DV108" s="4"/>
    </row>
    <row r="109" spans="1:126">
      <c r="A109" s="2" t="s">
        <v>50</v>
      </c>
      <c r="B109">
        <v>3</v>
      </c>
      <c r="J109" s="4"/>
      <c r="N109" s="4"/>
      <c r="R109" s="4"/>
      <c r="V109" s="4"/>
      <c r="Z109" s="4"/>
      <c r="AD109" s="4"/>
      <c r="AH109" s="4"/>
      <c r="AL109" s="4"/>
      <c r="AP109" s="4"/>
      <c r="AT109" s="4"/>
      <c r="AX109" s="4"/>
      <c r="BB109" s="4"/>
      <c r="BF109" s="4"/>
      <c r="BJ109" s="4"/>
      <c r="BN109" s="4"/>
      <c r="BR109" s="4"/>
      <c r="BV109" s="4"/>
      <c r="BZ109" s="4"/>
      <c r="CD109" s="4"/>
      <c r="CH109" s="4"/>
      <c r="CL109" s="4"/>
      <c r="CP109" s="4"/>
      <c r="CT109" s="4"/>
      <c r="CX109" s="4"/>
      <c r="DB109" s="4"/>
      <c r="DF109" s="4"/>
      <c r="DJ109" s="4"/>
      <c r="DN109" s="4"/>
      <c r="DR109" s="4"/>
      <c r="DV109" s="4"/>
    </row>
    <row r="110" spans="1:126">
      <c r="A110" s="2" t="s">
        <v>51</v>
      </c>
      <c r="B110">
        <v>5</v>
      </c>
      <c r="J110" s="4"/>
      <c r="N110" s="4"/>
      <c r="R110" s="4"/>
      <c r="V110" s="4"/>
      <c r="Z110" s="4"/>
      <c r="AD110" s="4"/>
      <c r="AH110" s="4"/>
      <c r="AL110" s="4"/>
      <c r="AP110" s="4"/>
      <c r="AT110" s="4"/>
      <c r="AX110" s="4"/>
      <c r="BB110" s="4"/>
      <c r="BF110" s="4"/>
      <c r="BJ110" s="4"/>
      <c r="BN110" s="4"/>
      <c r="BR110" s="4"/>
      <c r="BV110" s="4"/>
      <c r="BZ110" s="4"/>
      <c r="CD110" s="4"/>
      <c r="CH110" s="4"/>
      <c r="CL110" s="4"/>
      <c r="CP110" s="4"/>
      <c r="CT110" s="4"/>
      <c r="CX110" s="4"/>
      <c r="DB110" s="4"/>
      <c r="DF110" s="4"/>
      <c r="DJ110" s="4"/>
      <c r="DN110" s="4"/>
      <c r="DR110" s="4"/>
      <c r="DV110" s="4"/>
    </row>
    <row r="111" spans="1:126">
      <c r="A111" s="3" t="s">
        <v>56</v>
      </c>
      <c r="B111">
        <v>16</v>
      </c>
      <c r="J111" s="4"/>
      <c r="N111" s="4"/>
      <c r="R111" s="4"/>
      <c r="V111" s="4"/>
      <c r="Z111" s="4"/>
      <c r="AC111" s="1"/>
      <c r="AD111" s="4"/>
      <c r="AH111" s="4"/>
      <c r="AK111" s="1"/>
      <c r="AL111" s="4"/>
      <c r="AP111" s="4"/>
      <c r="AT111" s="4"/>
      <c r="AX111" s="4"/>
      <c r="BB111" s="4"/>
      <c r="BF111" s="4"/>
      <c r="BJ111" s="4"/>
      <c r="BN111" s="4"/>
      <c r="BR111" s="4"/>
      <c r="BV111" s="4"/>
      <c r="BZ111" s="4"/>
      <c r="CD111" s="4"/>
      <c r="CH111" s="4"/>
      <c r="CL111" s="4"/>
      <c r="CP111" s="4"/>
      <c r="CT111" s="4"/>
      <c r="CX111" s="4"/>
      <c r="DB111" s="4"/>
      <c r="DF111" s="4"/>
      <c r="DJ111" s="4"/>
      <c r="DN111" s="4"/>
      <c r="DR111" s="4"/>
      <c r="DV111" s="4"/>
    </row>
    <row r="112" spans="1:126">
      <c r="A112" s="2" t="s">
        <v>88</v>
      </c>
      <c r="B112">
        <v>19</v>
      </c>
      <c r="J112" s="4"/>
      <c r="N112" s="4"/>
      <c r="R112" s="4"/>
      <c r="V112" s="4"/>
      <c r="Z112" s="4"/>
      <c r="AD112" s="4"/>
      <c r="AH112" s="4"/>
      <c r="AL112" s="4"/>
      <c r="AP112" s="4"/>
      <c r="AT112" s="4"/>
      <c r="AX112" s="4"/>
      <c r="BB112" s="4"/>
      <c r="BF112" s="4"/>
      <c r="BJ112" s="4"/>
      <c r="BN112" s="4"/>
      <c r="BR112" s="4"/>
      <c r="BV112" s="4"/>
      <c r="BZ112" s="4"/>
      <c r="CD112" s="4"/>
      <c r="CH112" s="4"/>
      <c r="CL112" s="4"/>
      <c r="CP112" s="4"/>
      <c r="CT112" s="4"/>
      <c r="CX112" s="4"/>
      <c r="DB112" s="4"/>
      <c r="DF112" s="4"/>
      <c r="DJ112" s="4"/>
      <c r="DN112" s="4"/>
      <c r="DR112" s="4"/>
      <c r="DV112" s="4"/>
    </row>
    <row r="113" spans="1:130">
      <c r="J113" s="4"/>
      <c r="N113" s="4"/>
      <c r="R113" s="4"/>
      <c r="V113" s="4"/>
      <c r="Z113" s="4"/>
      <c r="AD113" s="4"/>
      <c r="AH113" s="4"/>
      <c r="AL113" s="4"/>
      <c r="AP113" s="4"/>
      <c r="AT113" s="4"/>
      <c r="AX113" s="4"/>
      <c r="BB113" s="4"/>
      <c r="BF113" s="4"/>
      <c r="BJ113" s="4"/>
      <c r="BN113" s="4"/>
      <c r="BR113" s="4"/>
      <c r="BV113" s="4"/>
      <c r="BZ113" s="4"/>
      <c r="CD113" s="4"/>
      <c r="CH113" s="4"/>
      <c r="CL113" s="4"/>
      <c r="CP113" s="4"/>
      <c r="CT113" s="4"/>
      <c r="CX113" s="4"/>
      <c r="DB113" s="4"/>
      <c r="DF113" s="4"/>
      <c r="DJ113" s="4"/>
      <c r="DN113" s="4"/>
      <c r="DR113" s="4"/>
      <c r="DV113" s="4"/>
    </row>
    <row r="114" spans="1:130">
      <c r="J114" s="4"/>
      <c r="N114" s="4"/>
      <c r="R114" s="4"/>
      <c r="V114" s="4"/>
      <c r="Z114" s="4"/>
      <c r="AD114" s="4"/>
      <c r="AH114" s="4"/>
      <c r="AL114" s="4"/>
      <c r="AP114" s="4"/>
      <c r="AT114" s="4"/>
      <c r="AX114" s="4"/>
      <c r="BB114" s="4"/>
      <c r="BF114" s="4"/>
      <c r="BJ114" s="4"/>
      <c r="BN114" s="4"/>
      <c r="BR114" s="4"/>
      <c r="BV114" s="4"/>
      <c r="BZ114" s="4"/>
      <c r="CD114" s="4"/>
      <c r="CH114" s="4"/>
      <c r="CL114" s="4"/>
      <c r="CP114" s="4"/>
      <c r="CT114" s="4"/>
      <c r="CX114" s="4"/>
      <c r="DB114" s="4"/>
      <c r="DF114" s="4"/>
      <c r="DJ114" s="4"/>
      <c r="DN114" s="4"/>
      <c r="DR114" s="4"/>
      <c r="DV114" s="4"/>
    </row>
    <row r="115" spans="1:130">
      <c r="J115" s="4"/>
      <c r="N115" s="4"/>
      <c r="R115" s="4"/>
      <c r="V115" s="4"/>
      <c r="Z115" s="4"/>
      <c r="AD115" s="4"/>
      <c r="AH115" s="4"/>
      <c r="AL115" s="4"/>
      <c r="AP115" s="4"/>
      <c r="AT115" s="4"/>
      <c r="AX115" s="4"/>
      <c r="BB115" s="4"/>
      <c r="BF115" s="4"/>
      <c r="BJ115" s="4"/>
      <c r="BN115" s="4"/>
      <c r="BR115" s="4"/>
      <c r="BV115" s="4"/>
      <c r="BZ115" s="4"/>
      <c r="CD115" s="4"/>
      <c r="CH115" s="4"/>
      <c r="CL115" s="4"/>
      <c r="CP115" s="4"/>
      <c r="CT115" s="4"/>
      <c r="CX115" s="4"/>
      <c r="DB115" s="4"/>
      <c r="DF115" s="4"/>
      <c r="DJ115" s="4"/>
      <c r="DN115" s="4"/>
      <c r="DR115" s="4"/>
      <c r="DV115" s="4"/>
    </row>
    <row r="116" spans="1:130">
      <c r="J116" s="4"/>
      <c r="N116" s="4"/>
      <c r="R116" s="4"/>
      <c r="V116" s="4"/>
      <c r="Z116" s="4"/>
      <c r="AD116" s="4"/>
      <c r="AH116" s="4"/>
      <c r="AL116" s="4"/>
      <c r="AP116" s="4"/>
      <c r="AT116" s="4"/>
      <c r="AX116" s="4"/>
      <c r="BB116" s="4"/>
      <c r="BF116" s="4"/>
      <c r="BJ116" s="4"/>
      <c r="BN116" s="4"/>
      <c r="BR116" s="4"/>
      <c r="BV116" s="4"/>
      <c r="BZ116" s="4"/>
      <c r="CD116" s="4"/>
      <c r="CH116" s="4"/>
      <c r="CL116" s="4"/>
      <c r="CP116" s="4"/>
      <c r="CT116" s="4"/>
      <c r="CX116" s="4"/>
      <c r="DB116" s="4"/>
      <c r="DF116" s="4"/>
      <c r="DJ116" s="4"/>
      <c r="DN116" s="4"/>
      <c r="DR116" s="4"/>
      <c r="DV116" s="4"/>
    </row>
    <row r="117" spans="1:130">
      <c r="A117" s="3"/>
      <c r="J117" s="4"/>
      <c r="N117" s="4"/>
      <c r="R117" s="4"/>
      <c r="V117" s="4"/>
      <c r="Z117" s="4"/>
      <c r="AD117" s="4"/>
      <c r="AH117" s="4"/>
      <c r="AL117" s="4"/>
      <c r="AP117" s="4"/>
      <c r="AT117" s="4"/>
      <c r="AX117" s="4"/>
      <c r="BB117" s="4"/>
      <c r="BF117" s="4"/>
      <c r="BJ117" s="4"/>
      <c r="BN117" s="4"/>
      <c r="BR117" s="4"/>
      <c r="BV117" s="4"/>
      <c r="BZ117" s="4"/>
      <c r="CD117" s="4"/>
      <c r="CH117" s="4"/>
      <c r="CL117" s="4"/>
      <c r="CP117" s="4"/>
      <c r="CT117" s="4"/>
      <c r="CX117" s="4"/>
      <c r="DB117" s="4"/>
      <c r="DF117" s="4"/>
      <c r="DJ117" s="4"/>
      <c r="DN117" s="4"/>
      <c r="DR117" s="4"/>
      <c r="DV117" s="4"/>
    </row>
    <row r="118" spans="1:130">
      <c r="J118" s="4"/>
      <c r="N118" s="4"/>
      <c r="R118" s="4"/>
      <c r="V118" s="4"/>
      <c r="Z118" s="4"/>
      <c r="AD118" s="4"/>
      <c r="AH118" s="4"/>
      <c r="AL118" s="4"/>
      <c r="AP118" s="4"/>
      <c r="AT118" s="4"/>
      <c r="AX118" s="4"/>
      <c r="BB118" s="4"/>
      <c r="BF118" s="4"/>
      <c r="BJ118" s="4"/>
      <c r="BN118" s="4"/>
      <c r="BR118" s="4"/>
      <c r="BV118" s="4"/>
      <c r="BZ118" s="4"/>
      <c r="CD118" s="4"/>
      <c r="CH118" s="4"/>
      <c r="CL118" s="4"/>
      <c r="CP118" s="4"/>
      <c r="CT118" s="4"/>
      <c r="CX118" s="4"/>
      <c r="DB118" s="4"/>
      <c r="DF118" s="4"/>
      <c r="DJ118" s="4"/>
      <c r="DN118" s="4"/>
      <c r="DR118" s="4"/>
      <c r="DV118" s="4"/>
    </row>
    <row r="119" spans="1:130">
      <c r="J119" s="4"/>
      <c r="N119" s="4"/>
      <c r="R119" s="4"/>
      <c r="V119" s="4"/>
      <c r="Z119" s="4"/>
      <c r="AD119" s="4"/>
      <c r="AH119" s="4"/>
      <c r="AL119" s="4"/>
      <c r="AP119" s="4"/>
      <c r="AT119" s="4"/>
      <c r="AX119" s="4"/>
      <c r="BB119" s="4"/>
      <c r="BF119" s="4"/>
      <c r="BJ119" s="4"/>
      <c r="BN119" s="4"/>
      <c r="BR119" s="4"/>
      <c r="BV119" s="4"/>
      <c r="BZ119" s="4"/>
      <c r="CD119" s="4"/>
      <c r="CH119" s="4"/>
      <c r="CL119" s="4"/>
      <c r="CP119" s="4"/>
      <c r="CT119" s="4"/>
      <c r="CX119" s="4"/>
      <c r="DB119" s="4"/>
      <c r="DF119" s="4"/>
      <c r="DJ119" s="4"/>
      <c r="DN119" s="4"/>
      <c r="DR119" s="4"/>
      <c r="DV119" s="4"/>
    </row>
    <row r="120" spans="1:130">
      <c r="J120" s="4"/>
      <c r="N120" s="4"/>
      <c r="R120" s="4"/>
      <c r="V120" s="4"/>
      <c r="Z120" s="4"/>
      <c r="AD120" s="4"/>
      <c r="AH120" s="4"/>
      <c r="AL120" s="4"/>
      <c r="AP120" s="4"/>
      <c r="AT120" s="4"/>
      <c r="AX120" s="4"/>
      <c r="BB120" s="4"/>
      <c r="BF120" s="4"/>
      <c r="BJ120" s="4"/>
      <c r="BN120" s="4"/>
      <c r="BR120" s="4"/>
      <c r="BV120" s="4"/>
      <c r="BZ120" s="4"/>
      <c r="CD120" s="4"/>
      <c r="CH120" s="4"/>
      <c r="CL120" s="4"/>
      <c r="CP120" s="4"/>
      <c r="CT120" s="4"/>
      <c r="CX120" s="4"/>
      <c r="DB120" s="4"/>
      <c r="DF120" s="4"/>
      <c r="DJ120" s="4"/>
      <c r="DN120" s="4"/>
      <c r="DR120" s="4"/>
      <c r="DV120" s="4"/>
    </row>
    <row r="121" spans="1:130">
      <c r="G121" s="4"/>
      <c r="H121" s="4"/>
      <c r="J121" s="4"/>
      <c r="K121" s="4"/>
      <c r="L121" s="4"/>
      <c r="M121" s="4"/>
      <c r="N121" s="4"/>
      <c r="O121" s="16"/>
      <c r="P121" s="4"/>
      <c r="Q121" s="4"/>
      <c r="R121" s="4"/>
      <c r="S121" s="4"/>
      <c r="T121" s="4"/>
      <c r="U121" s="4"/>
      <c r="V121" s="4"/>
      <c r="W121" s="17"/>
      <c r="X121" s="4"/>
      <c r="Y121" s="4"/>
      <c r="Z121" s="4"/>
      <c r="AA121" s="4"/>
      <c r="AB121" s="4"/>
      <c r="AC121" s="4"/>
      <c r="AD121" s="4"/>
      <c r="AE121" s="16"/>
      <c r="AF121" s="4"/>
      <c r="AG121" s="4"/>
      <c r="AH121" s="4"/>
      <c r="AI121" s="16"/>
      <c r="AJ121" s="4"/>
      <c r="AK121" s="4"/>
      <c r="AL121" s="4"/>
      <c r="AM121" s="16"/>
      <c r="AN121" s="4"/>
      <c r="AO121" s="4"/>
      <c r="AP121" s="4"/>
      <c r="AQ121" s="18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4"/>
      <c r="BD121" s="4"/>
      <c r="BE121" s="4"/>
      <c r="BF121" s="4"/>
      <c r="BG121" s="17"/>
      <c r="BH121" s="4"/>
      <c r="BI121" s="4"/>
      <c r="BJ121" s="4"/>
      <c r="BK121" s="4"/>
      <c r="BL121" s="4"/>
      <c r="BM121" s="4"/>
      <c r="BN121" s="4"/>
      <c r="BO121" s="16"/>
      <c r="BP121" s="4"/>
      <c r="BQ121" s="4"/>
      <c r="BR121" s="4"/>
      <c r="BS121" s="4"/>
      <c r="BT121" s="4"/>
      <c r="BU121" s="4"/>
      <c r="BV121" s="4"/>
      <c r="BW121" s="4"/>
      <c r="BX121" s="4"/>
      <c r="BY121" s="4"/>
      <c r="BZ121" s="4"/>
      <c r="CA121" s="17"/>
      <c r="CB121" s="4"/>
      <c r="CC121" s="4"/>
      <c r="CD121" s="4"/>
      <c r="CE121" s="4"/>
      <c r="CF121" s="4"/>
      <c r="CG121" s="4"/>
      <c r="CH121" s="4"/>
      <c r="CI121" s="4"/>
      <c r="CJ121" s="4"/>
      <c r="CK121" s="4"/>
      <c r="CL121" s="4"/>
      <c r="CM121" s="4"/>
      <c r="CN121" s="4"/>
      <c r="CO121" s="4"/>
      <c r="CP121" s="4"/>
      <c r="CQ121" s="16"/>
      <c r="CR121" s="4"/>
      <c r="CS121" s="4"/>
      <c r="CT121" s="4"/>
      <c r="CU121" s="4"/>
      <c r="CV121" s="4"/>
      <c r="CW121" s="4"/>
      <c r="CX121" s="4"/>
      <c r="CY121" s="4"/>
      <c r="CZ121" s="4"/>
      <c r="DA121" s="4"/>
      <c r="DB121" s="4"/>
      <c r="DC121" s="4"/>
      <c r="DD121" s="4"/>
      <c r="DE121" s="4"/>
      <c r="DF121" s="4"/>
      <c r="DG121" s="4"/>
      <c r="DH121" s="4"/>
      <c r="DI121" s="4"/>
      <c r="DJ121" s="4"/>
      <c r="DK121" s="4"/>
      <c r="DL121" s="4"/>
      <c r="DM121" s="4"/>
      <c r="DN121" s="4"/>
      <c r="DO121" s="16"/>
      <c r="DP121" s="4"/>
      <c r="DQ121" s="4"/>
      <c r="DR121" s="4"/>
      <c r="DS121" s="4"/>
      <c r="DT121" s="4"/>
      <c r="DU121" s="4"/>
      <c r="DV121" s="4"/>
      <c r="DW121" s="17"/>
      <c r="DX121" s="4"/>
      <c r="DY121" s="4"/>
      <c r="DZ121" s="4"/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E119"/>
  <sheetViews>
    <sheetView topLeftCell="A63" workbookViewId="0">
      <pane xSplit="1" topLeftCell="B1" activePane="topRight" state="frozen"/>
      <selection pane="topRight" activeCell="B75" sqref="A1:XFD1048576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B3" s="19">
        <v>16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9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10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8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16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3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7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B10" s="19">
        <v>10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11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4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5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6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7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5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12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8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12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32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7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1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2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B34" s="19">
        <v>1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3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5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6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8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17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9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6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5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7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5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4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6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1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3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6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17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17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6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10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11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B74" s="19">
        <v>3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6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8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6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2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B81" s="19">
        <v>1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3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14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8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6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8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16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10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EE119"/>
  <sheetViews>
    <sheetView zoomScaleNormal="100" workbookViewId="0">
      <pane xSplit="2" ySplit="2" topLeftCell="C26" activePane="bottomRight" state="frozen"/>
      <selection activeCell="AU30" sqref="AU30"/>
      <selection pane="topRight" activeCell="AU30" sqref="AU30"/>
      <selection pane="bottomLeft" activeCell="AU30" sqref="AU30"/>
      <selection pane="bottomRight" activeCell="B31" sqref="B31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B3" s="19">
        <v>6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5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16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9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13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10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12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6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4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14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10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11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15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15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10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9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4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13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6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7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B32" s="19">
        <v>2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6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10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6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9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25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3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8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7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B43" s="19">
        <v>2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3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7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5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5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5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3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2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3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4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3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5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2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1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12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5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B66" s="19">
        <v>5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15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13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7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11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9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B74" s="19">
        <v>2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14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12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2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1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3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4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19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7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8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8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10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14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27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EE1:EE2"/>
    <mergeCell ref="DX2:DY2"/>
    <mergeCell ref="DT1:DW1"/>
    <mergeCell ref="EA1:EA2"/>
    <mergeCell ref="EB1:EB2"/>
    <mergeCell ref="EC1:EC2"/>
    <mergeCell ref="ED1:ED2"/>
    <mergeCell ref="CZ1:DC1"/>
    <mergeCell ref="DD1:DG1"/>
    <mergeCell ref="DH1:DK1"/>
    <mergeCell ref="DL1:DO1"/>
    <mergeCell ref="DP1:DS1"/>
    <mergeCell ref="CN1:CQ1"/>
    <mergeCell ref="CR1:CU1"/>
    <mergeCell ref="CV1:CY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N1:AQ1"/>
    <mergeCell ref="AR1:AU1"/>
    <mergeCell ref="P1:S1"/>
    <mergeCell ref="T1:W1"/>
    <mergeCell ref="X1:AA1"/>
    <mergeCell ref="AB1:AE1"/>
    <mergeCell ref="D1:G1"/>
    <mergeCell ref="H1:K1"/>
    <mergeCell ref="L1:O1"/>
    <mergeCell ref="AF1:AI1"/>
    <mergeCell ref="AJ1:AM1"/>
  </mergeCells>
  <pageMargins left="0.25" right="0.25" top="0.75" bottom="0.75" header="0.3" footer="0.3"/>
  <pageSetup paperSize="9" scale="38" fitToWidth="0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EE119"/>
  <sheetViews>
    <sheetView workbookViewId="0">
      <pane xSplit="2" ySplit="2" topLeftCell="C64" activePane="bottomRight" state="frozen"/>
      <selection pane="topRight"/>
      <selection pane="bottomLeft"/>
      <selection pane="bottomRight" activeCell="B96" sqref="B96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B3" s="19">
        <v>5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11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9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7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15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5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11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5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7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B13" s="19">
        <v>6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8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9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9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14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5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6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1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17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9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3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5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6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6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7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20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13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8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11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7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16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2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6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5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7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6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4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5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1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4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16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13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10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13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7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4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9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2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2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4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13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16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12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4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15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13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E117"/>
  <sheetViews>
    <sheetView zoomScale="95" zoomScaleNormal="95" workbookViewId="0">
      <pane xSplit="2" ySplit="2" topLeftCell="C60" activePane="bottomRight" state="frozen"/>
      <selection pane="topRight"/>
      <selection pane="bottomLeft"/>
      <selection pane="bottomRight" activeCell="B93" sqref="A1:XFD1048576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B3" s="19">
        <v>9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10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8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7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10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4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13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6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5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5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8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2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7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10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8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11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5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10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3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9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4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9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7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13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9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13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4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8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2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5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5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5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3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11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4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5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2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2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6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9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9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8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6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8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3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12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3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3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1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6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10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1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14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10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12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EE117"/>
  <sheetViews>
    <sheetView workbookViewId="0">
      <pane xSplit="2" ySplit="2" topLeftCell="C57" activePane="bottomRight" state="frozen"/>
      <selection pane="topRight"/>
      <selection pane="bottomLeft"/>
      <selection pane="bottomRight" activeCell="B90" sqref="A1:XFD1048576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B3" s="19">
        <v>8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6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1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4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10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4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12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4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6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10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11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3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7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4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16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2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12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3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6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5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9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10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29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14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6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3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B43" s="19">
        <v>2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3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2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1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4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11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6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4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5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14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B67" s="19">
        <v>1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4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7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4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5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8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8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14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1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8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2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B81" s="19">
        <v>3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1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4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9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5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9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11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12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10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EE117"/>
  <sheetViews>
    <sheetView zoomScale="95" zoomScaleNormal="95" workbookViewId="0">
      <pane xSplit="2" ySplit="2" topLeftCell="C54" activePane="bottomRight" state="frozen"/>
      <selection pane="topRight"/>
      <selection pane="bottomLeft"/>
      <selection pane="bottomRight" activeCell="B71" sqref="B71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  <col min="136" max="136" width="11.4257812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B3" s="19">
        <v>13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20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16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6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20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6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13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B10" s="19">
        <v>4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4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B15" s="19">
        <v>13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B16" s="19">
        <v>3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B17" s="19">
        <v>19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9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9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5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9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16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9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8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31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7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2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B34" s="19">
        <v>2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6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17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8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8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22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17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5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4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B43" s="19">
        <v>2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5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16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10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1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8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4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9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3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7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8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16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4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B66" s="19">
        <v>10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B67" s="19">
        <v>1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17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8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14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8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7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B73" s="19">
        <v>5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B74" s="19">
        <v>10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8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18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7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4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B81" s="19">
        <v>3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14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9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8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4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6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16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10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B91" s="19">
        <v>12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  <c r="B92" s="19">
        <v>5</v>
      </c>
    </row>
    <row r="93" spans="1:130">
      <c r="A93" s="2" t="s">
        <v>114</v>
      </c>
      <c r="B93" s="19">
        <v>10</v>
      </c>
    </row>
    <row r="94" spans="1:130">
      <c r="A94" s="2" t="s">
        <v>115</v>
      </c>
      <c r="B94" s="19">
        <v>9</v>
      </c>
    </row>
    <row r="95" spans="1:130">
      <c r="A95" s="2" t="s">
        <v>116</v>
      </c>
      <c r="B95" s="19">
        <v>10</v>
      </c>
    </row>
    <row r="96" spans="1:130">
      <c r="A96" s="2" t="s">
        <v>117</v>
      </c>
      <c r="B96" s="19">
        <v>5</v>
      </c>
    </row>
    <row r="97" spans="1:2">
      <c r="A97" s="2" t="s">
        <v>118</v>
      </c>
      <c r="B97" s="19">
        <v>14</v>
      </c>
    </row>
    <row r="98" spans="1:2">
      <c r="A98" s="2" t="s">
        <v>119</v>
      </c>
      <c r="B98" s="19">
        <v>6</v>
      </c>
    </row>
    <row r="99" spans="1:2">
      <c r="A99" s="2" t="s">
        <v>120</v>
      </c>
      <c r="B99" s="19">
        <v>49</v>
      </c>
    </row>
    <row r="100" spans="1:2">
      <c r="A100" s="2" t="s">
        <v>121</v>
      </c>
      <c r="B100" s="19">
        <v>46</v>
      </c>
    </row>
    <row r="101" spans="1:2">
      <c r="A101" s="2" t="s">
        <v>122</v>
      </c>
      <c r="B101" s="19">
        <v>93</v>
      </c>
    </row>
    <row r="102" spans="1:2">
      <c r="A102" s="2" t="s">
        <v>123</v>
      </c>
      <c r="B102" s="19">
        <v>5</v>
      </c>
    </row>
    <row r="103" spans="1:2">
      <c r="A103" s="2" t="s">
        <v>124</v>
      </c>
      <c r="B103" s="19">
        <v>7</v>
      </c>
    </row>
    <row r="104" spans="1:2">
      <c r="A104" s="2" t="s">
        <v>125</v>
      </c>
      <c r="B104" s="19">
        <v>34</v>
      </c>
    </row>
    <row r="105" spans="1:2">
      <c r="A105" s="2" t="s">
        <v>126</v>
      </c>
      <c r="B105" s="19">
        <v>9</v>
      </c>
    </row>
    <row r="106" spans="1:2">
      <c r="A106" s="2" t="s">
        <v>127</v>
      </c>
      <c r="B106" s="19">
        <v>3</v>
      </c>
    </row>
    <row r="107" spans="1:2">
      <c r="A107" s="2" t="s">
        <v>128</v>
      </c>
      <c r="B107" s="19">
        <v>2</v>
      </c>
    </row>
    <row r="108" spans="1:2">
      <c r="A108" s="2" t="s">
        <v>129</v>
      </c>
      <c r="B108" s="19">
        <v>3</v>
      </c>
    </row>
    <row r="109" spans="1:2">
      <c r="A109" s="2" t="s">
        <v>59</v>
      </c>
      <c r="B109" s="19">
        <v>2</v>
      </c>
    </row>
    <row r="110" spans="1:2">
      <c r="A110" s="2" t="s">
        <v>57</v>
      </c>
      <c r="B110" s="19">
        <v>1</v>
      </c>
    </row>
    <row r="111" spans="1:2">
      <c r="A111" s="2" t="s">
        <v>130</v>
      </c>
      <c r="B111" s="19">
        <v>1</v>
      </c>
    </row>
    <row r="112" spans="1:2">
      <c r="A112" s="2" t="s">
        <v>131</v>
      </c>
      <c r="B112" s="19">
        <v>9</v>
      </c>
    </row>
    <row r="113" spans="1:2">
      <c r="A113" s="2" t="s">
        <v>132</v>
      </c>
      <c r="B113" s="19">
        <v>1</v>
      </c>
    </row>
    <row r="114" spans="1:2">
      <c r="A114" s="2" t="s">
        <v>133</v>
      </c>
      <c r="B114" s="19">
        <v>8</v>
      </c>
    </row>
    <row r="115" spans="1:2">
      <c r="A115" s="2" t="s">
        <v>134</v>
      </c>
      <c r="B115" s="19">
        <v>9</v>
      </c>
    </row>
    <row r="116" spans="1:2">
      <c r="A116" s="2" t="s">
        <v>135</v>
      </c>
      <c r="B116" s="19">
        <v>4</v>
      </c>
    </row>
    <row r="117" spans="1:2">
      <c r="A117" s="2" t="s">
        <v>136</v>
      </c>
      <c r="B117" s="19">
        <v>1</v>
      </c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EE117"/>
  <sheetViews>
    <sheetView zoomScale="84" zoomScaleNormal="84" workbookViewId="0">
      <pane xSplit="2" ySplit="2" topLeftCell="C44" activePane="bottomRight" state="frozen"/>
      <selection pane="topRight"/>
      <selection pane="bottomLeft"/>
      <selection pane="bottomRight" activeCell="N63" sqref="N63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B3" s="19">
        <v>4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7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5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2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9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5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9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7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7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5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2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12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3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8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15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4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4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1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4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8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4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6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14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9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3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7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B43" s="19">
        <v>2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3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6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6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B49" s="19">
        <v>2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4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4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3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1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6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3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2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2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1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9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1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B66" s="19">
        <v>2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7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16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3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11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4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8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7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5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3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2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4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11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5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5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4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3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6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8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" right="0.7" top="0.75" bottom="0.75" header="0.3" footer="0.3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EE117"/>
  <sheetViews>
    <sheetView zoomScale="115" zoomScaleNormal="115" workbookViewId="0">
      <pane xSplit="2" ySplit="2" topLeftCell="C86" activePane="bottomRight" state="frozen"/>
      <selection pane="topRight"/>
      <selection pane="bottomLeft"/>
      <selection pane="bottomRight" activeCell="F95" sqref="A1:XFD1048576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B3" s="19">
        <v>3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5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7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4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8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5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8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5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6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5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11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8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8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16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4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8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4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12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10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2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B34" s="19">
        <v>1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6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8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10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5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22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12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7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1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B43" s="19">
        <v>2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3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6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1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4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5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8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4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5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3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10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2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10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9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3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8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12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5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14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5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7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11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11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5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6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16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16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66CF10-98D0-4D3A-B08E-472221B16892}">
  <dimension ref="A1:EE117"/>
  <sheetViews>
    <sheetView topLeftCell="A58" workbookViewId="0">
      <pane xSplit="1" topLeftCell="B1" activePane="topRight" state="frozen"/>
      <selection pane="topRight" activeCell="K78" sqref="K78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B3" s="19">
        <v>5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8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4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3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5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7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6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7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8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8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4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5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21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5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6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5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9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4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v>4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4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8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10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4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8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16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10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10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7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1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2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5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4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2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2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7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4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4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5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2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8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3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15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14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4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6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9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4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7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10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5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2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11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5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8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9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7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12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14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EE1:EE2"/>
    <mergeCell ref="DX2:DY2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CR1:CU1"/>
    <mergeCell ref="AZ1:BC1"/>
    <mergeCell ref="BD1:BG1"/>
    <mergeCell ref="BH1:BK1"/>
    <mergeCell ref="BL1:BO1"/>
    <mergeCell ref="BP1:BS1"/>
    <mergeCell ref="BT1:BW1"/>
    <mergeCell ref="BX1:CA1"/>
    <mergeCell ref="CB1:CE1"/>
    <mergeCell ref="CF1:CI1"/>
    <mergeCell ref="CJ1:CM1"/>
    <mergeCell ref="CN1:CQ1"/>
    <mergeCell ref="AV1:AY1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EE119"/>
  <sheetViews>
    <sheetView topLeftCell="A71" workbookViewId="0">
      <pane xSplit="1" topLeftCell="B1" activePane="topRight" state="frozen"/>
      <selection pane="topRight" activeCell="X103" sqref="X103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B3" s="19">
        <v>7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10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4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9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15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5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11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8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6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10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14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3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7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8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12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5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5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23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7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3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12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5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3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23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16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4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5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1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9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4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B49" s="19">
        <v>4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5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3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4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3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7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7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1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3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3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7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4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B66" s="19">
        <v>2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15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13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7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13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7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4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14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3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B78" s="19">
        <v>2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2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2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4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9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5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5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B89" s="19">
        <v>3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B90" s="19">
        <v>10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14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15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EE1:EE2"/>
    <mergeCell ref="DD1:DG1"/>
    <mergeCell ref="DH1:DK1"/>
    <mergeCell ref="DL1:DO1"/>
    <mergeCell ref="DP1:DS1"/>
    <mergeCell ref="DT1:DW1"/>
    <mergeCell ref="DX2:DY2"/>
    <mergeCell ref="EA1:EA2"/>
    <mergeCell ref="EB1:EB2"/>
    <mergeCell ref="EC1:EC2"/>
    <mergeCell ref="ED1:ED2"/>
    <mergeCell ref="CJ1:CM1"/>
    <mergeCell ref="CN1:CQ1"/>
    <mergeCell ref="CR1:CU1"/>
    <mergeCell ref="CV1:CY1"/>
    <mergeCell ref="CZ1:DC1"/>
    <mergeCell ref="CB1:CE1"/>
    <mergeCell ref="CF1:CI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  <mergeCell ref="D1:G1"/>
    <mergeCell ref="H1:K1"/>
    <mergeCell ref="L1:O1"/>
    <mergeCell ref="P1:S1"/>
    <mergeCell ref="BX1:CA1"/>
    <mergeCell ref="T1:W1"/>
    <mergeCell ref="X1:AA1"/>
    <mergeCell ref="AB1:AE1"/>
    <mergeCell ref="AF1:AI1"/>
    <mergeCell ref="AJ1:AM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EE117"/>
  <sheetViews>
    <sheetView zoomScaleNormal="100" workbookViewId="0">
      <pane xSplit="2" ySplit="2" topLeftCell="C3" activePane="bottomRight" state="frozen"/>
      <selection pane="topRight"/>
      <selection pane="bottomLeft"/>
      <selection pane="bottomRight" activeCell="B46" sqref="A1:XFD1048576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B3" s="19">
        <v>11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5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11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9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4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15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3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5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8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6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7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15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4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11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7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33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6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5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4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9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7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27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6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9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5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1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B45" s="19">
        <v>2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9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5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7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2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4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4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5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3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8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1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14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22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8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8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3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8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18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6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6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B83" s="19">
        <v>3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10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13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9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6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5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21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15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EB1:EB2"/>
    <mergeCell ref="EC1:EC2"/>
    <mergeCell ref="ED1:ED2"/>
    <mergeCell ref="EE1:EE2"/>
    <mergeCell ref="DX2:DY2"/>
    <mergeCell ref="DH1:DK1"/>
    <mergeCell ref="DL1:DO1"/>
    <mergeCell ref="DP1:DS1"/>
    <mergeCell ref="DT1:DW1"/>
    <mergeCell ref="EA1:EA2"/>
    <mergeCell ref="CN1:CQ1"/>
    <mergeCell ref="CR1:CU1"/>
    <mergeCell ref="CV1:CY1"/>
    <mergeCell ref="CZ1:DC1"/>
    <mergeCell ref="DD1:DG1"/>
    <mergeCell ref="BX1:CA1"/>
    <mergeCell ref="CB1:CE1"/>
    <mergeCell ref="CF1:CI1"/>
    <mergeCell ref="CJ1:CM1"/>
    <mergeCell ref="BH1:BK1"/>
    <mergeCell ref="BL1:BO1"/>
    <mergeCell ref="BP1:BS1"/>
    <mergeCell ref="BT1:BW1"/>
    <mergeCell ref="AV1:AY1"/>
    <mergeCell ref="AZ1:BC1"/>
    <mergeCell ref="BD1:BG1"/>
    <mergeCell ref="AF1:AI1"/>
    <mergeCell ref="AJ1:AM1"/>
    <mergeCell ref="AN1:AQ1"/>
    <mergeCell ref="AR1:AU1"/>
    <mergeCell ref="P1:S1"/>
    <mergeCell ref="T1:W1"/>
    <mergeCell ref="X1:AA1"/>
    <mergeCell ref="AB1:AE1"/>
    <mergeCell ref="D1:G1"/>
    <mergeCell ref="H1:K1"/>
    <mergeCell ref="L1:O1"/>
  </mergeCells>
  <pageMargins left="0.70866141732283505" right="0.70866141732283505" top="0.74803149606299202" bottom="0.74803149606299202" header="0.31496062992126" footer="0.31496062992126"/>
  <pageSetup paperSize="9" scale="80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EE119"/>
  <sheetViews>
    <sheetView topLeftCell="A61" workbookViewId="0">
      <pane xSplit="1" topLeftCell="B1" activePane="topRight" state="frozen"/>
      <selection pane="topRight" activeCell="B93" sqref="B93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2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2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3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2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2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2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1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1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2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2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2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6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137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108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2" t="s">
        <v>50</v>
      </c>
      <c r="J89" s="4"/>
      <c r="N89" s="4"/>
      <c r="R89" s="4"/>
      <c r="V89" s="4"/>
      <c r="Z89" s="4"/>
      <c r="AD89" s="4"/>
      <c r="AH89" s="4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51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3" t="s">
        <v>56</v>
      </c>
      <c r="B91" s="19">
        <v>1</v>
      </c>
      <c r="J91" s="4"/>
      <c r="N91" s="4"/>
      <c r="R91" s="4"/>
      <c r="V91" s="4"/>
      <c r="Z91" s="4"/>
      <c r="AC91" s="1"/>
      <c r="AD91" s="4"/>
      <c r="AH91" s="4"/>
      <c r="AK91" s="1"/>
      <c r="AL91" s="4"/>
      <c r="AP91" s="4"/>
      <c r="AT91" s="4"/>
      <c r="AX91" s="4"/>
      <c r="BB91" s="4"/>
      <c r="BF91" s="4"/>
      <c r="BJ91" s="4"/>
      <c r="BN91" s="4"/>
      <c r="BR91" s="4"/>
      <c r="BV91" s="4"/>
      <c r="BZ91" s="4"/>
      <c r="CD91" s="4"/>
      <c r="CH91" s="4"/>
      <c r="CL91" s="4"/>
      <c r="CP91" s="4"/>
      <c r="CT91" s="4"/>
      <c r="CX91" s="4"/>
      <c r="DB91" s="4"/>
      <c r="DF91" s="4"/>
      <c r="DJ91" s="4"/>
      <c r="DN91" s="4"/>
      <c r="DR91" s="4"/>
      <c r="DV91" s="4"/>
    </row>
    <row r="92" spans="1:130">
      <c r="A92" s="2" t="s">
        <v>88</v>
      </c>
      <c r="B92" s="19">
        <v>2</v>
      </c>
      <c r="J92" s="4"/>
      <c r="N92" s="4"/>
      <c r="R92" s="4"/>
      <c r="V92" s="4"/>
      <c r="Z92" s="4"/>
      <c r="AD92" s="4"/>
      <c r="AH92" s="4"/>
      <c r="AL92" s="4"/>
      <c r="AP92" s="4"/>
      <c r="AT92" s="4"/>
      <c r="AX92" s="4"/>
      <c r="BB92" s="4"/>
      <c r="BF92" s="4"/>
      <c r="BJ92" s="4"/>
      <c r="BN92" s="4"/>
      <c r="BR92" s="4"/>
      <c r="BV92" s="4"/>
      <c r="BZ92" s="4"/>
      <c r="CD92" s="4"/>
      <c r="CH92" s="4"/>
      <c r="CL92" s="4"/>
      <c r="CP92" s="4"/>
      <c r="CT92" s="4"/>
      <c r="CX92" s="4"/>
      <c r="DB92" s="4"/>
      <c r="DF92" s="4"/>
      <c r="DJ92" s="4"/>
      <c r="DN92" s="4"/>
      <c r="DR92" s="4"/>
      <c r="DV92" s="4"/>
    </row>
    <row r="93" spans="1:130">
      <c r="A93" s="2" t="s">
        <v>113</v>
      </c>
      <c r="G93" s="4"/>
      <c r="H93" s="4"/>
      <c r="J93" s="4"/>
      <c r="K93" s="4"/>
      <c r="L93" s="4"/>
      <c r="M93" s="4"/>
      <c r="N93" s="4"/>
      <c r="O93" s="16"/>
      <c r="P93" s="4"/>
      <c r="Q93" s="4"/>
      <c r="R93" s="4"/>
      <c r="S93" s="4"/>
      <c r="T93" s="4"/>
      <c r="U93" s="4"/>
      <c r="V93" s="4"/>
      <c r="W93" s="17"/>
      <c r="X93" s="4"/>
      <c r="Y93" s="4"/>
      <c r="Z93" s="4"/>
      <c r="AA93" s="4"/>
      <c r="AB93" s="4"/>
      <c r="AC93" s="4"/>
      <c r="AD93" s="4"/>
      <c r="AE93" s="16"/>
      <c r="AF93" s="4"/>
      <c r="AG93" s="4"/>
      <c r="AH93" s="4"/>
      <c r="AI93" s="16"/>
      <c r="AJ93" s="4"/>
      <c r="AK93" s="4"/>
      <c r="AL93" s="4"/>
      <c r="AM93" s="16"/>
      <c r="AN93" s="4"/>
      <c r="AO93" s="4"/>
      <c r="AP93" s="4"/>
      <c r="AQ93" s="18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4"/>
      <c r="BD93" s="4"/>
      <c r="BE93" s="4"/>
      <c r="BF93" s="4"/>
      <c r="BG93" s="17"/>
      <c r="BH93" s="4"/>
      <c r="BI93" s="4"/>
      <c r="BJ93" s="4"/>
      <c r="BK93" s="4"/>
      <c r="BL93" s="4"/>
      <c r="BM93" s="4"/>
      <c r="BN93" s="4"/>
      <c r="BO93" s="16"/>
      <c r="BP93" s="4"/>
      <c r="BQ93" s="4"/>
      <c r="BR93" s="4"/>
      <c r="BS93" s="4"/>
      <c r="BT93" s="4"/>
      <c r="BU93" s="4"/>
      <c r="BV93" s="4"/>
      <c r="BW93" s="4"/>
      <c r="BX93" s="4"/>
      <c r="BY93" s="4"/>
      <c r="BZ93" s="4"/>
      <c r="CA93" s="17"/>
      <c r="CB93" s="4"/>
      <c r="CC93" s="4"/>
      <c r="CD93" s="4"/>
      <c r="CE93" s="4"/>
      <c r="CF93" s="4"/>
      <c r="CG93" s="4"/>
      <c r="CH93" s="4"/>
      <c r="CI93" s="4"/>
      <c r="CJ93" s="4"/>
      <c r="CK93" s="4"/>
      <c r="CL93" s="4"/>
      <c r="CM93" s="4"/>
      <c r="CN93" s="4"/>
      <c r="CO93" s="4"/>
      <c r="CP93" s="4"/>
      <c r="CQ93" s="16"/>
      <c r="CR93" s="4"/>
      <c r="CS93" s="4"/>
      <c r="CT93" s="4"/>
      <c r="CU93" s="4"/>
      <c r="CV93" s="4"/>
      <c r="CW93" s="4"/>
      <c r="CX93" s="4"/>
      <c r="CY93" s="4"/>
      <c r="CZ93" s="4"/>
      <c r="DA93" s="4"/>
      <c r="DB93" s="4"/>
      <c r="DC93" s="4"/>
      <c r="DD93" s="4"/>
      <c r="DE93" s="4"/>
      <c r="DF93" s="4"/>
      <c r="DG93" s="4"/>
      <c r="DH93" s="4"/>
      <c r="DI93" s="4"/>
      <c r="DJ93" s="4"/>
      <c r="DK93" s="4"/>
      <c r="DL93" s="4"/>
      <c r="DM93" s="4"/>
      <c r="DN93" s="4"/>
      <c r="DO93" s="16"/>
      <c r="DP93" s="4"/>
      <c r="DQ93" s="4"/>
      <c r="DR93" s="4"/>
      <c r="DS93" s="4"/>
      <c r="DT93" s="4"/>
      <c r="DU93" s="4"/>
      <c r="DV93" s="4"/>
      <c r="DW93" s="17"/>
      <c r="DX93" s="4"/>
      <c r="DY93" s="4"/>
      <c r="DZ93" s="4"/>
    </row>
    <row r="94" spans="1:130">
      <c r="A94" s="2" t="s">
        <v>112</v>
      </c>
    </row>
    <row r="95" spans="1:130">
      <c r="A95" s="2" t="s">
        <v>114</v>
      </c>
    </row>
    <row r="96" spans="1:130">
      <c r="A96" s="2" t="s">
        <v>115</v>
      </c>
    </row>
    <row r="97" spans="1:1">
      <c r="A97" s="2" t="s">
        <v>116</v>
      </c>
    </row>
    <row r="98" spans="1:1">
      <c r="A98" s="2" t="s">
        <v>117</v>
      </c>
    </row>
    <row r="99" spans="1:1">
      <c r="A99" s="2" t="s">
        <v>118</v>
      </c>
    </row>
    <row r="100" spans="1:1">
      <c r="A100" s="2" t="s">
        <v>119</v>
      </c>
    </row>
    <row r="101" spans="1:1">
      <c r="A101" s="2" t="s">
        <v>120</v>
      </c>
    </row>
    <row r="102" spans="1:1">
      <c r="A102" s="2" t="s">
        <v>121</v>
      </c>
    </row>
    <row r="103" spans="1:1">
      <c r="A103" s="2" t="s">
        <v>122</v>
      </c>
    </row>
    <row r="104" spans="1:1">
      <c r="A104" s="2" t="s">
        <v>123</v>
      </c>
    </row>
    <row r="105" spans="1:1">
      <c r="A105" s="2" t="s">
        <v>124</v>
      </c>
    </row>
    <row r="106" spans="1:1">
      <c r="A106" s="2" t="s">
        <v>125</v>
      </c>
    </row>
    <row r="107" spans="1:1">
      <c r="A107" s="2" t="s">
        <v>126</v>
      </c>
    </row>
    <row r="108" spans="1:1">
      <c r="A108" s="2" t="s">
        <v>127</v>
      </c>
    </row>
    <row r="109" spans="1:1">
      <c r="A109" s="2" t="s">
        <v>128</v>
      </c>
    </row>
    <row r="110" spans="1:1">
      <c r="A110" s="2" t="s">
        <v>129</v>
      </c>
    </row>
    <row r="111" spans="1:1">
      <c r="A111" s="2" t="s">
        <v>59</v>
      </c>
    </row>
    <row r="112" spans="1:1">
      <c r="A112" s="2" t="s">
        <v>57</v>
      </c>
    </row>
    <row r="113" spans="1:1">
      <c r="A113" s="2" t="s">
        <v>130</v>
      </c>
    </row>
    <row r="114" spans="1:1">
      <c r="A114" s="2" t="s">
        <v>131</v>
      </c>
    </row>
    <row r="115" spans="1:1">
      <c r="A115" s="2" t="s">
        <v>132</v>
      </c>
    </row>
    <row r="116" spans="1:1">
      <c r="A116" s="2" t="s">
        <v>133</v>
      </c>
    </row>
    <row r="117" spans="1:1">
      <c r="A117" s="2" t="s">
        <v>134</v>
      </c>
    </row>
    <row r="118" spans="1:1">
      <c r="A118" s="2" t="s">
        <v>135</v>
      </c>
    </row>
    <row r="119" spans="1:1">
      <c r="A119" s="2" t="s">
        <v>136</v>
      </c>
    </row>
  </sheetData>
  <mergeCells count="37">
    <mergeCell ref="EE1:EE2"/>
    <mergeCell ref="DD1:DG1"/>
    <mergeCell ref="DH1:DK1"/>
    <mergeCell ref="DL1:DO1"/>
    <mergeCell ref="DP1:DS1"/>
    <mergeCell ref="DT1:DW1"/>
    <mergeCell ref="DX2:DY2"/>
    <mergeCell ref="EA1:EA2"/>
    <mergeCell ref="EB1:EB2"/>
    <mergeCell ref="EC1:EC2"/>
    <mergeCell ref="ED1:ED2"/>
    <mergeCell ref="CJ1:CM1"/>
    <mergeCell ref="CN1:CQ1"/>
    <mergeCell ref="CR1:CU1"/>
    <mergeCell ref="CV1:CY1"/>
    <mergeCell ref="CZ1:DC1"/>
    <mergeCell ref="CB1:CE1"/>
    <mergeCell ref="CF1:CI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  <mergeCell ref="D1:G1"/>
    <mergeCell ref="H1:K1"/>
    <mergeCell ref="L1:O1"/>
    <mergeCell ref="P1:S1"/>
    <mergeCell ref="BX1:CA1"/>
    <mergeCell ref="T1:W1"/>
    <mergeCell ref="X1:AA1"/>
    <mergeCell ref="AB1:AE1"/>
    <mergeCell ref="AF1:AI1"/>
    <mergeCell ref="AJ1:AM1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57E8A1-FAE6-45E1-BC9C-86CCFAE7DA6E}">
  <dimension ref="A1:EE117"/>
  <sheetViews>
    <sheetView topLeftCell="A70" workbookViewId="0">
      <selection activeCell="B90" sqref="B90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1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2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2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1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1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1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2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1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1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1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1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2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3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4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1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2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3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2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2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AV1:AY1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CR1:CU1"/>
    <mergeCell ref="AZ1:BC1"/>
    <mergeCell ref="BD1:BG1"/>
    <mergeCell ref="BH1:BK1"/>
    <mergeCell ref="BL1:BO1"/>
    <mergeCell ref="BP1:BS1"/>
    <mergeCell ref="BT1:BW1"/>
    <mergeCell ref="BX1:CA1"/>
    <mergeCell ref="CB1:CE1"/>
    <mergeCell ref="CF1:CI1"/>
    <mergeCell ref="CJ1:CM1"/>
    <mergeCell ref="CN1:CQ1"/>
    <mergeCell ref="EE1:EE2"/>
    <mergeCell ref="DX2:DY2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C49C-1166-4D2E-B68B-0474EC03A803}">
  <dimension ref="A1:EE117"/>
  <sheetViews>
    <sheetView topLeftCell="A28" zoomScaleNormal="100" workbookViewId="0">
      <pane xSplit="1" topLeftCell="B1" activePane="topRight" state="frozen"/>
      <selection pane="topRight" activeCell="B61" sqref="A1:XFD1048576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B3" s="19">
        <v>5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7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5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2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12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2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4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7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6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10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8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15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2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4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5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6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5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2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8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8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2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1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4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2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8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2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9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7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8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8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8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10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4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v>11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5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6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11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8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11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9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11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EE1:EE2"/>
    <mergeCell ref="DX2:DY2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  <mergeCell ref="CR1:CU1"/>
    <mergeCell ref="AZ1:BC1"/>
    <mergeCell ref="BD1:BG1"/>
    <mergeCell ref="BH1:BK1"/>
    <mergeCell ref="BL1:BO1"/>
    <mergeCell ref="BP1:BS1"/>
    <mergeCell ref="BT1:BW1"/>
    <mergeCell ref="BX1:CA1"/>
    <mergeCell ref="CB1:CE1"/>
    <mergeCell ref="CF1:CI1"/>
    <mergeCell ref="CJ1:CM1"/>
    <mergeCell ref="CN1:CQ1"/>
    <mergeCell ref="AV1:AY1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</mergeCells>
  <pageMargins left="0.7" right="0.7" top="0.75" bottom="0.75" header="0.3" footer="0.3"/>
  <pageSetup paperSize="9"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EE117"/>
  <sheetViews>
    <sheetView showGridLines="0" topLeftCell="A57" workbookViewId="0">
      <pane xSplit="1" topLeftCell="B1" activePane="topRight" state="frozen"/>
      <selection pane="topRight" activeCell="B73" sqref="A1:XFD1048576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B3" s="19">
        <v>8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v>3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1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6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4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v>6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1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v>7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4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6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3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B22" s="19">
        <v>4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5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4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v>6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v>3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B33" s="19">
        <v>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v>2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7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B38" s="19">
        <v>6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v>13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v>9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6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6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v>9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B49" s="19">
        <v>2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v>2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2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1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B57" s="19">
        <v>3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6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6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3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v>17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v>8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3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v>3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5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5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3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2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2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B81" s="19">
        <v>2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B82" s="19">
        <v>3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8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3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6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6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3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v>9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v>8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EE1:EE2"/>
    <mergeCell ref="DD1:DG1"/>
    <mergeCell ref="DH1:DK1"/>
    <mergeCell ref="DL1:DO1"/>
    <mergeCell ref="DP1:DS1"/>
    <mergeCell ref="DT1:DW1"/>
    <mergeCell ref="DX2:DY2"/>
    <mergeCell ref="EA1:EA2"/>
    <mergeCell ref="EB1:EB2"/>
    <mergeCell ref="EC1:EC2"/>
    <mergeCell ref="ED1:ED2"/>
    <mergeCell ref="CJ1:CM1"/>
    <mergeCell ref="CN1:CQ1"/>
    <mergeCell ref="CR1:CU1"/>
    <mergeCell ref="CV1:CY1"/>
    <mergeCell ref="CZ1:DC1"/>
    <mergeCell ref="CB1:CE1"/>
    <mergeCell ref="CF1:CI1"/>
    <mergeCell ref="AN1:AQ1"/>
    <mergeCell ref="AR1:AU1"/>
    <mergeCell ref="AV1:AY1"/>
    <mergeCell ref="AZ1:BC1"/>
    <mergeCell ref="BD1:BG1"/>
    <mergeCell ref="BH1:BK1"/>
    <mergeCell ref="BL1:BO1"/>
    <mergeCell ref="BP1:BS1"/>
    <mergeCell ref="BT1:BW1"/>
    <mergeCell ref="D1:G1"/>
    <mergeCell ref="H1:K1"/>
    <mergeCell ref="L1:O1"/>
    <mergeCell ref="P1:S1"/>
    <mergeCell ref="BX1:CA1"/>
    <mergeCell ref="T1:W1"/>
    <mergeCell ref="X1:AA1"/>
    <mergeCell ref="AB1:AE1"/>
    <mergeCell ref="AF1:AI1"/>
    <mergeCell ref="AJ1:AM1"/>
  </mergeCells>
  <pageMargins left="0.7" right="0.7" top="0.75" bottom="0.75" header="0.3" footer="0.3"/>
  <pageSetup paperSize="9"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6AC7D-910C-4474-BAB5-7622DFEFEDF6}">
  <dimension ref="A1:EE117"/>
  <sheetViews>
    <sheetView tabSelected="1" workbookViewId="0">
      <pane xSplit="1" topLeftCell="B1" activePane="topRight" state="frozen"/>
      <selection pane="topRight" activeCell="E21" sqref="E21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AV1:AY1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CR1:CU1"/>
    <mergeCell ref="AZ1:BC1"/>
    <mergeCell ref="BD1:BG1"/>
    <mergeCell ref="BH1:BK1"/>
    <mergeCell ref="BL1:BO1"/>
    <mergeCell ref="BP1:BS1"/>
    <mergeCell ref="BT1:BW1"/>
    <mergeCell ref="BX1:CA1"/>
    <mergeCell ref="CB1:CE1"/>
    <mergeCell ref="CF1:CI1"/>
    <mergeCell ref="CJ1:CM1"/>
    <mergeCell ref="CN1:CQ1"/>
    <mergeCell ref="EE1:EE2"/>
    <mergeCell ref="DX2:DY2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C2913-0709-45FF-A713-7E7CB8D45FFF}">
  <dimension ref="A1:EE117"/>
  <sheetViews>
    <sheetView topLeftCell="A18" workbookViewId="0">
      <selection activeCell="B32" sqref="B32"/>
    </sheetView>
  </sheetViews>
  <sheetFormatPr defaultColWidth="11.42578125" defaultRowHeight="15"/>
  <cols>
    <col min="1" max="1" width="21.7109375" style="2" customWidth="1"/>
    <col min="2" max="2" width="11.42578125" style="19"/>
    <col min="3" max="3" width="3.28515625" style="6" customWidth="1"/>
    <col min="4" max="4" width="3.28515625" customWidth="1"/>
    <col min="5" max="5" width="3.85546875" customWidth="1"/>
    <col min="6" max="6" width="9.7109375" style="4" customWidth="1"/>
    <col min="7" max="7" width="4.85546875" style="6" customWidth="1"/>
    <col min="8" max="8" width="4.28515625" customWidth="1"/>
    <col min="9" max="9" width="2.7109375" customWidth="1"/>
    <col min="10" max="10" width="9.5703125" customWidth="1"/>
    <col min="11" max="11" width="3.85546875" style="6" customWidth="1"/>
    <col min="12" max="12" width="3.28515625" customWidth="1"/>
    <col min="13" max="13" width="3.42578125" customWidth="1"/>
    <col min="14" max="14" width="10.28515625" customWidth="1"/>
    <col min="15" max="15" width="4" style="6" customWidth="1"/>
    <col min="16" max="16" width="3.28515625" customWidth="1"/>
    <col min="17" max="17" width="3.42578125" customWidth="1"/>
    <col min="18" max="18" width="9.7109375" customWidth="1"/>
    <col min="19" max="19" width="4" style="6" customWidth="1"/>
    <col min="20" max="20" width="3.28515625" customWidth="1"/>
    <col min="21" max="21" width="3.42578125" customWidth="1"/>
    <col min="22" max="22" width="9.28515625" customWidth="1"/>
    <col min="23" max="23" width="3.85546875" style="9" customWidth="1"/>
    <col min="24" max="24" width="4.140625" customWidth="1"/>
    <col min="25" max="25" width="3.42578125" customWidth="1"/>
    <col min="26" max="26" width="9.28515625" customWidth="1"/>
    <col min="27" max="27" width="4.28515625" style="6" customWidth="1"/>
    <col min="28" max="28" width="3.28515625" customWidth="1"/>
    <col min="29" max="29" width="3.42578125" customWidth="1"/>
    <col min="30" max="30" width="9.42578125" customWidth="1"/>
    <col min="31" max="31" width="3.85546875" style="6" customWidth="1"/>
    <col min="32" max="32" width="3.28515625" customWidth="1"/>
    <col min="33" max="33" width="3.42578125" customWidth="1"/>
    <col min="34" max="34" width="10.85546875" customWidth="1"/>
    <col min="35" max="35" width="3" style="6" customWidth="1"/>
    <col min="36" max="36" width="4.28515625" customWidth="1"/>
    <col min="37" max="37" width="3.42578125" customWidth="1"/>
    <col min="38" max="38" width="9.28515625" customWidth="1"/>
    <col min="39" max="39" width="3" style="6" customWidth="1"/>
    <col min="40" max="40" width="3.28515625" customWidth="1"/>
    <col min="41" max="41" width="3.42578125" customWidth="1"/>
    <col min="42" max="42" width="9.5703125" customWidth="1"/>
    <col min="43" max="43" width="4.42578125" style="10" customWidth="1"/>
    <col min="44" max="44" width="3.28515625" customWidth="1"/>
    <col min="45" max="45" width="3.42578125" customWidth="1"/>
    <col min="46" max="46" width="10.28515625" customWidth="1"/>
    <col min="47" max="47" width="3" style="6" customWidth="1"/>
    <col min="48" max="48" width="3.28515625" customWidth="1"/>
    <col min="49" max="49" width="3.42578125" customWidth="1"/>
    <col min="50" max="50" width="8.7109375" customWidth="1"/>
    <col min="51" max="51" width="3" style="6" customWidth="1"/>
    <col min="52" max="52" width="3.28515625" customWidth="1"/>
    <col min="53" max="53" width="3.42578125" customWidth="1"/>
    <col min="54" max="54" width="9.140625" customWidth="1"/>
    <col min="55" max="55" width="4.7109375" style="6" customWidth="1"/>
    <col min="56" max="56" width="4.42578125" customWidth="1"/>
    <col min="57" max="57" width="3.42578125" customWidth="1"/>
    <col min="58" max="58" width="9.28515625" customWidth="1"/>
    <col min="59" max="59" width="4.28515625" style="9" customWidth="1"/>
    <col min="60" max="60" width="4.7109375" customWidth="1"/>
    <col min="61" max="61" width="3.42578125" customWidth="1"/>
    <col min="62" max="62" width="8.7109375" customWidth="1"/>
    <col min="63" max="63" width="5.5703125" style="6" customWidth="1"/>
    <col min="64" max="64" width="3.28515625" customWidth="1"/>
    <col min="65" max="65" width="3.42578125" customWidth="1"/>
    <col min="66" max="66" width="9.28515625" customWidth="1"/>
    <col min="67" max="67" width="3" style="6" customWidth="1"/>
    <col min="68" max="69" width="3.28515625" customWidth="1"/>
    <col min="70" max="70" width="9.7109375" customWidth="1"/>
    <col min="71" max="71" width="4.5703125" style="6" customWidth="1"/>
    <col min="72" max="73" width="4.5703125" customWidth="1"/>
    <col min="74" max="74" width="10.5703125" customWidth="1"/>
    <col min="75" max="75" width="4.140625" style="6" customWidth="1"/>
    <col min="76" max="77" width="3.28515625" customWidth="1"/>
    <col min="78" max="78" width="8.85546875" customWidth="1"/>
    <col min="79" max="79" width="3" style="9" customWidth="1"/>
    <col min="80" max="81" width="3.28515625" customWidth="1"/>
    <col min="82" max="82" width="10.28515625" customWidth="1"/>
    <col min="83" max="83" width="3" style="6" customWidth="1"/>
    <col min="84" max="85" width="3.28515625" customWidth="1"/>
    <col min="86" max="86" width="8.85546875" customWidth="1"/>
    <col min="87" max="87" width="3" style="6" customWidth="1"/>
    <col min="88" max="89" width="3.28515625" customWidth="1"/>
    <col min="90" max="90" width="7.5703125" customWidth="1"/>
    <col min="91" max="91" width="3" style="6" customWidth="1"/>
    <col min="92" max="93" width="3.28515625" customWidth="1"/>
    <col min="94" max="94" width="7.5703125" customWidth="1"/>
    <col min="95" max="95" width="3" style="6" customWidth="1"/>
    <col min="96" max="97" width="3.28515625" customWidth="1"/>
    <col min="98" max="98" width="7.5703125" customWidth="1"/>
    <col min="99" max="99" width="3" style="6" customWidth="1"/>
    <col min="100" max="101" width="3.28515625" customWidth="1"/>
    <col min="102" max="102" width="7.5703125" customWidth="1"/>
    <col min="103" max="103" width="3" style="6" customWidth="1"/>
    <col min="104" max="105" width="3.28515625" customWidth="1"/>
    <col min="106" max="106" width="7.5703125" customWidth="1"/>
    <col min="107" max="107" width="3" style="6" customWidth="1"/>
    <col min="108" max="109" width="3.28515625" customWidth="1"/>
    <col min="110" max="110" width="10.7109375" customWidth="1"/>
    <col min="111" max="111" width="3" style="6" customWidth="1"/>
    <col min="112" max="113" width="3.28515625" customWidth="1"/>
    <col min="114" max="114" width="8.85546875" customWidth="1"/>
    <col min="115" max="115" width="3" style="6" customWidth="1"/>
    <col min="116" max="117" width="3.28515625" customWidth="1"/>
    <col min="118" max="118" width="10.42578125" customWidth="1"/>
    <col min="119" max="119" width="3" style="6" customWidth="1"/>
    <col min="120" max="121" width="3.28515625" customWidth="1"/>
    <col min="122" max="122" width="9.42578125" customWidth="1"/>
    <col min="123" max="123" width="3" style="6" customWidth="1"/>
    <col min="124" max="125" width="3.28515625" customWidth="1"/>
    <col min="126" max="126" width="9.7109375" customWidth="1"/>
    <col min="127" max="127" width="3" style="9" customWidth="1"/>
    <col min="128" max="128" width="10.85546875" style="7" customWidth="1"/>
    <col min="129" max="129" width="10.5703125" style="8" customWidth="1"/>
    <col min="130" max="130" width="11.85546875" style="7" customWidth="1"/>
    <col min="131" max="131" width="6.5703125" style="11" customWidth="1"/>
    <col min="132" max="132" width="6.5703125" style="12" customWidth="1"/>
    <col min="133" max="133" width="6.5703125" style="13" customWidth="1"/>
    <col min="134" max="134" width="6.42578125" style="14" customWidth="1"/>
    <col min="135" max="135" width="6.42578125" style="15" customWidth="1"/>
  </cols>
  <sheetData>
    <row r="1" spans="1:135" ht="15.75" customHeight="1">
      <c r="D1" s="20"/>
      <c r="E1" s="21"/>
      <c r="F1" s="21"/>
      <c r="G1" s="21"/>
      <c r="H1" s="20"/>
      <c r="I1" s="21"/>
      <c r="J1" s="21"/>
      <c r="K1" s="21"/>
      <c r="L1" s="20"/>
      <c r="M1" s="21"/>
      <c r="N1" s="21"/>
      <c r="O1" s="21"/>
      <c r="P1" s="20"/>
      <c r="Q1" s="21"/>
      <c r="R1" s="21"/>
      <c r="S1" s="21"/>
      <c r="T1" s="20"/>
      <c r="U1" s="21"/>
      <c r="V1" s="21"/>
      <c r="W1" s="21"/>
      <c r="X1" s="20"/>
      <c r="Y1" s="21"/>
      <c r="Z1" s="21"/>
      <c r="AA1" s="21"/>
      <c r="AB1" s="20"/>
      <c r="AC1" s="21"/>
      <c r="AD1" s="21"/>
      <c r="AE1" s="21"/>
      <c r="AF1" s="20"/>
      <c r="AG1" s="21"/>
      <c r="AH1" s="21"/>
      <c r="AI1" s="21"/>
      <c r="AJ1" s="20"/>
      <c r="AK1" s="21"/>
      <c r="AL1" s="21"/>
      <c r="AM1" s="21"/>
      <c r="AN1" s="20"/>
      <c r="AO1" s="21"/>
      <c r="AP1" s="21"/>
      <c r="AQ1" s="21"/>
      <c r="AR1" s="20"/>
      <c r="AS1" s="21"/>
      <c r="AT1" s="21"/>
      <c r="AU1" s="21"/>
      <c r="AV1" s="20"/>
      <c r="AW1" s="21"/>
      <c r="AX1" s="21"/>
      <c r="AY1" s="21"/>
      <c r="AZ1" s="20"/>
      <c r="BA1" s="21"/>
      <c r="BB1" s="21"/>
      <c r="BC1" s="21"/>
      <c r="BD1" s="20"/>
      <c r="BE1" s="21"/>
      <c r="BF1" s="21"/>
      <c r="BG1" s="21"/>
      <c r="BH1" s="20"/>
      <c r="BI1" s="21"/>
      <c r="BJ1" s="21"/>
      <c r="BK1" s="21"/>
      <c r="BL1" s="20"/>
      <c r="BM1" s="21"/>
      <c r="BN1" s="21"/>
      <c r="BO1" s="21"/>
      <c r="BP1" s="20"/>
      <c r="BQ1" s="21"/>
      <c r="BR1" s="21"/>
      <c r="BS1" s="21"/>
      <c r="BT1" s="20"/>
      <c r="BU1" s="21"/>
      <c r="BV1" s="21"/>
      <c r="BW1" s="21"/>
      <c r="BX1" s="20"/>
      <c r="BY1" s="21"/>
      <c r="BZ1" s="21"/>
      <c r="CA1" s="21"/>
      <c r="CB1" s="20"/>
      <c r="CC1" s="21"/>
      <c r="CD1" s="21"/>
      <c r="CE1" s="21"/>
      <c r="CF1" s="20"/>
      <c r="CG1" s="21"/>
      <c r="CH1" s="21"/>
      <c r="CI1" s="21"/>
      <c r="CJ1" s="20"/>
      <c r="CK1" s="21"/>
      <c r="CL1" s="21"/>
      <c r="CM1" s="21"/>
      <c r="CN1" s="20"/>
      <c r="CO1" s="21"/>
      <c r="CP1" s="21"/>
      <c r="CQ1" s="21"/>
      <c r="CR1" s="20"/>
      <c r="CS1" s="21"/>
      <c r="CT1" s="21"/>
      <c r="CU1" s="21"/>
      <c r="CV1" s="20"/>
      <c r="CW1" s="21"/>
      <c r="CX1" s="21"/>
      <c r="CY1" s="21"/>
      <c r="CZ1" s="20"/>
      <c r="DA1" s="21"/>
      <c r="DB1" s="21"/>
      <c r="DC1" s="21"/>
      <c r="DD1" s="20"/>
      <c r="DE1" s="21"/>
      <c r="DF1" s="21"/>
      <c r="DG1" s="21"/>
      <c r="DH1" s="20"/>
      <c r="DI1" s="21"/>
      <c r="DJ1" s="21"/>
      <c r="DK1" s="21"/>
      <c r="DL1" s="20"/>
      <c r="DM1" s="21"/>
      <c r="DN1" s="21"/>
      <c r="DO1" s="21"/>
      <c r="DP1" s="20"/>
      <c r="DQ1" s="21"/>
      <c r="DR1" s="21"/>
      <c r="DS1" s="21"/>
      <c r="DT1" s="20"/>
      <c r="DU1" s="21"/>
      <c r="DV1" s="21"/>
      <c r="DW1" s="21"/>
      <c r="EA1" s="22"/>
      <c r="EB1" s="23"/>
      <c r="EC1" s="24"/>
      <c r="ED1" s="25"/>
      <c r="EE1" s="26"/>
    </row>
    <row r="2" spans="1:135">
      <c r="C2" s="9"/>
      <c r="G2" s="9"/>
      <c r="K2" s="9"/>
      <c r="S2" s="9"/>
      <c r="AA2" s="9"/>
      <c r="AU2" s="9"/>
      <c r="AY2" s="9"/>
      <c r="BC2" s="9"/>
      <c r="BK2" s="9"/>
      <c r="BS2" s="9"/>
      <c r="BW2" s="9"/>
      <c r="CE2" s="9"/>
      <c r="CI2" s="9"/>
      <c r="CM2" s="9"/>
      <c r="CU2" s="9"/>
      <c r="CY2" s="9"/>
      <c r="DC2" s="9"/>
      <c r="DG2" s="9"/>
      <c r="DK2" s="9"/>
      <c r="DS2" s="9"/>
      <c r="DX2" s="27"/>
      <c r="DY2" s="27"/>
      <c r="EA2" s="22"/>
      <c r="EB2" s="23"/>
      <c r="EC2" s="24"/>
      <c r="ED2" s="25"/>
      <c r="EE2" s="26"/>
    </row>
    <row r="3" spans="1:135">
      <c r="A3" s="2" t="s">
        <v>2</v>
      </c>
      <c r="B3" s="19">
        <f>38-15</f>
        <v>23</v>
      </c>
      <c r="J3" s="4"/>
      <c r="N3" s="4"/>
      <c r="R3" s="4"/>
      <c r="V3" s="4"/>
      <c r="Z3" s="4"/>
      <c r="AD3" s="4"/>
      <c r="AH3" s="4"/>
      <c r="AL3" s="4"/>
      <c r="AP3" s="4"/>
      <c r="AT3" s="4"/>
      <c r="AX3" s="4"/>
      <c r="BB3" s="4"/>
      <c r="BF3" s="4"/>
      <c r="BJ3" s="4"/>
      <c r="BN3" s="4"/>
      <c r="BR3" s="4"/>
      <c r="BV3" s="4"/>
      <c r="BZ3" s="4"/>
      <c r="CD3" s="4"/>
      <c r="CH3" s="4"/>
      <c r="CL3" s="4"/>
      <c r="CP3" s="4"/>
      <c r="CT3" s="4"/>
      <c r="CX3" s="4"/>
      <c r="DB3" s="4"/>
      <c r="DF3" s="4"/>
      <c r="DJ3" s="4"/>
      <c r="DN3" s="4"/>
      <c r="DR3" s="4"/>
      <c r="DV3" s="4"/>
    </row>
    <row r="4" spans="1:135">
      <c r="A4" s="2" t="s">
        <v>3</v>
      </c>
      <c r="B4" s="19">
        <f>85-41</f>
        <v>44</v>
      </c>
      <c r="J4" s="4"/>
      <c r="N4" s="4"/>
      <c r="R4" s="4"/>
      <c r="V4" s="4"/>
      <c r="Z4" s="4"/>
      <c r="AD4" s="4"/>
      <c r="AH4" s="4"/>
      <c r="AL4" s="4"/>
      <c r="AP4" s="4"/>
      <c r="AT4" s="4"/>
      <c r="AX4" s="4"/>
      <c r="BB4" s="4"/>
      <c r="BF4" s="4"/>
      <c r="BJ4" s="4"/>
      <c r="BN4" s="4"/>
      <c r="BR4" s="4"/>
      <c r="BV4" s="4"/>
      <c r="BZ4" s="4"/>
      <c r="CD4" s="4"/>
      <c r="CH4" s="4"/>
      <c r="CL4" s="4"/>
      <c r="CP4" s="4"/>
      <c r="CT4" s="4"/>
      <c r="CX4" s="4"/>
      <c r="DB4" s="4"/>
      <c r="DF4" s="4"/>
      <c r="DJ4" s="4"/>
      <c r="DN4" s="4"/>
      <c r="DR4" s="4"/>
      <c r="DV4" s="4"/>
    </row>
    <row r="5" spans="1:135">
      <c r="A5" s="2" t="s">
        <v>4</v>
      </c>
      <c r="B5" s="19">
        <v>40</v>
      </c>
      <c r="J5" s="4"/>
      <c r="N5" s="4"/>
      <c r="R5" s="4"/>
      <c r="V5" s="4"/>
      <c r="Z5" s="4"/>
      <c r="AD5" s="4"/>
      <c r="AH5" s="4"/>
      <c r="AL5" s="4"/>
      <c r="AP5" s="4"/>
      <c r="AT5" s="4"/>
      <c r="AX5" s="4"/>
      <c r="BB5" s="4"/>
      <c r="BF5" s="4"/>
      <c r="BJ5" s="4"/>
      <c r="BN5" s="4"/>
      <c r="BR5" s="4"/>
      <c r="BV5" s="4"/>
      <c r="BZ5" s="4"/>
      <c r="CD5" s="4"/>
      <c r="CH5" s="4"/>
      <c r="CL5" s="4"/>
      <c r="CP5" s="4"/>
      <c r="CT5" s="4"/>
      <c r="CX5" s="4"/>
      <c r="DB5" s="4"/>
      <c r="DF5" s="4"/>
      <c r="DJ5" s="4"/>
      <c r="DN5" s="4"/>
      <c r="DR5" s="4"/>
      <c r="DV5" s="4"/>
    </row>
    <row r="6" spans="1:135">
      <c r="A6" s="2" t="s">
        <v>5</v>
      </c>
      <c r="B6" s="19">
        <v>92</v>
      </c>
      <c r="J6" s="4"/>
      <c r="N6" s="4"/>
      <c r="R6" s="4"/>
      <c r="V6" s="4"/>
      <c r="Z6" s="4"/>
      <c r="AD6" s="4"/>
      <c r="AH6" s="4"/>
      <c r="AL6" s="4"/>
      <c r="AP6" s="4"/>
      <c r="AT6" s="4"/>
      <c r="AX6" s="4"/>
      <c r="BB6" s="4"/>
      <c r="BF6" s="4"/>
      <c r="BJ6" s="4"/>
      <c r="BN6" s="4"/>
      <c r="BR6" s="4"/>
      <c r="BV6" s="4"/>
      <c r="BZ6" s="4"/>
      <c r="CD6" s="4"/>
      <c r="CH6" s="4"/>
      <c r="CL6" s="4"/>
      <c r="CP6" s="4"/>
      <c r="CT6" s="4"/>
      <c r="CX6" s="4"/>
      <c r="DB6" s="4"/>
      <c r="DF6" s="4"/>
      <c r="DJ6" s="4"/>
      <c r="DN6" s="4"/>
      <c r="DR6" s="4"/>
      <c r="DV6" s="4"/>
    </row>
    <row r="7" spans="1:135">
      <c r="A7" s="2" t="s">
        <v>6</v>
      </c>
      <c r="B7" s="19">
        <v>99</v>
      </c>
      <c r="J7" s="4"/>
      <c r="N7" s="4"/>
      <c r="R7" s="4"/>
      <c r="V7" s="4"/>
      <c r="Z7" s="4"/>
      <c r="AD7" s="4"/>
      <c r="AH7" s="4"/>
      <c r="AL7" s="4"/>
      <c r="AP7" s="4"/>
      <c r="AT7" s="4"/>
      <c r="AX7" s="4"/>
      <c r="BB7" s="4"/>
      <c r="BF7" s="4"/>
      <c r="BJ7" s="4"/>
      <c r="BN7" s="4"/>
      <c r="BR7" s="4"/>
      <c r="BV7" s="4"/>
      <c r="BZ7" s="4"/>
      <c r="CD7" s="4"/>
      <c r="CH7" s="4"/>
      <c r="CL7" s="4"/>
      <c r="CP7" s="4"/>
      <c r="CT7" s="4"/>
      <c r="CX7" s="4"/>
      <c r="DB7" s="4"/>
      <c r="DF7" s="4"/>
      <c r="DJ7" s="4"/>
      <c r="DN7" s="4"/>
      <c r="DR7" s="4"/>
      <c r="DV7" s="4"/>
    </row>
    <row r="8" spans="1:135">
      <c r="A8" s="2" t="s">
        <v>62</v>
      </c>
      <c r="B8" s="19">
        <v>29</v>
      </c>
      <c r="J8" s="4"/>
      <c r="N8" s="4"/>
      <c r="R8" s="4"/>
      <c r="V8" s="4"/>
      <c r="Z8" s="4"/>
      <c r="AD8" s="4"/>
      <c r="AH8" s="4"/>
      <c r="AL8" s="4"/>
      <c r="AP8" s="4"/>
      <c r="AT8" s="4"/>
      <c r="AX8" s="4"/>
      <c r="BB8" s="4"/>
      <c r="BF8" s="4"/>
      <c r="BJ8" s="4"/>
      <c r="BN8" s="4"/>
      <c r="BR8" s="4"/>
      <c r="BV8" s="4"/>
      <c r="BZ8" s="4"/>
      <c r="CD8" s="4"/>
      <c r="CH8" s="4"/>
      <c r="CL8" s="4"/>
      <c r="CP8" s="4"/>
      <c r="CT8" s="4"/>
      <c r="CX8" s="4"/>
      <c r="DB8" s="4"/>
      <c r="DF8" s="4"/>
      <c r="DJ8" s="4"/>
      <c r="DN8" s="4"/>
      <c r="DR8" s="4"/>
      <c r="DV8" s="4"/>
    </row>
    <row r="9" spans="1:135">
      <c r="A9" s="2" t="s">
        <v>63</v>
      </c>
      <c r="B9" s="19">
        <f>148-2</f>
        <v>146</v>
      </c>
      <c r="J9" s="4"/>
      <c r="N9" s="4"/>
      <c r="R9" s="4"/>
      <c r="V9" s="4"/>
      <c r="Z9" s="4"/>
      <c r="AD9" s="4"/>
      <c r="AH9" s="4"/>
      <c r="AL9" s="4"/>
      <c r="AP9" s="4"/>
      <c r="AT9" s="4"/>
      <c r="AX9" s="4"/>
      <c r="BB9" s="4"/>
      <c r="BF9" s="4"/>
      <c r="BJ9" s="4"/>
      <c r="BN9" s="4"/>
      <c r="BR9" s="4"/>
      <c r="BV9" s="4"/>
      <c r="BZ9" s="4"/>
      <c r="CD9" s="4"/>
      <c r="CH9" s="4"/>
      <c r="CL9" s="4"/>
      <c r="CP9" s="4"/>
      <c r="CT9" s="4"/>
      <c r="CX9" s="4"/>
      <c r="DB9" s="4"/>
      <c r="DF9" s="4"/>
      <c r="DJ9" s="4"/>
      <c r="DN9" s="4"/>
      <c r="DR9" s="4"/>
      <c r="DV9" s="4"/>
    </row>
    <row r="10" spans="1:135">
      <c r="A10" s="2" t="s">
        <v>7</v>
      </c>
      <c r="B10" s="19">
        <v>57</v>
      </c>
      <c r="J10" s="4"/>
      <c r="N10" s="4"/>
      <c r="R10" s="4"/>
      <c r="V10" s="4"/>
      <c r="Z10" s="4"/>
      <c r="AD10" s="4"/>
      <c r="AH10" s="4"/>
      <c r="AL10" s="4"/>
      <c r="AP10" s="4"/>
      <c r="AT10" s="4"/>
      <c r="AX10" s="4"/>
      <c r="BB10" s="4"/>
      <c r="BF10" s="4"/>
      <c r="BJ10" s="4"/>
      <c r="BN10" s="4"/>
      <c r="BR10" s="4"/>
      <c r="BV10" s="4"/>
      <c r="BZ10" s="4"/>
      <c r="CD10" s="4"/>
      <c r="CH10" s="4"/>
      <c r="CL10" s="4"/>
      <c r="CP10" s="4"/>
      <c r="CT10" s="4"/>
      <c r="CX10" s="4"/>
      <c r="DB10" s="4"/>
      <c r="DF10" s="4"/>
      <c r="DJ10" s="4"/>
      <c r="DN10" s="4"/>
      <c r="DR10" s="4"/>
      <c r="DV10" s="4"/>
    </row>
    <row r="11" spans="1:135">
      <c r="A11" s="2" t="s">
        <v>8</v>
      </c>
      <c r="B11" s="19">
        <v>49</v>
      </c>
      <c r="J11" s="4"/>
      <c r="N11" s="4"/>
      <c r="R11" s="4"/>
      <c r="V11" s="4"/>
      <c r="Z11" s="4"/>
      <c r="AD11" s="4"/>
      <c r="AH11" s="4"/>
      <c r="AL11" s="4"/>
      <c r="AP11" s="4"/>
      <c r="AT11" s="4"/>
      <c r="AX11" s="4"/>
      <c r="BB11" s="4"/>
      <c r="BF11" s="4"/>
      <c r="BJ11" s="4"/>
      <c r="BN11" s="4"/>
      <c r="BR11" s="4"/>
      <c r="BV11" s="4"/>
      <c r="BZ11" s="4"/>
      <c r="CD11" s="4"/>
      <c r="CH11" s="4"/>
      <c r="CL11" s="4"/>
      <c r="CP11" s="4"/>
      <c r="CT11" s="4"/>
      <c r="CX11" s="4"/>
      <c r="DB11" s="4"/>
      <c r="DF11" s="4"/>
      <c r="DJ11" s="4"/>
      <c r="DN11" s="4"/>
      <c r="DR11" s="4"/>
      <c r="DV11" s="4"/>
    </row>
    <row r="12" spans="1:135">
      <c r="A12" s="2" t="s">
        <v>9</v>
      </c>
      <c r="B12" s="19">
        <v>35</v>
      </c>
      <c r="J12" s="4"/>
      <c r="N12" s="4"/>
      <c r="R12" s="4"/>
      <c r="V12" s="4"/>
      <c r="Z12" s="4"/>
      <c r="AD12" s="4"/>
      <c r="AH12" s="4"/>
      <c r="AL12" s="4"/>
      <c r="AP12" s="4"/>
      <c r="AT12" s="4"/>
      <c r="AX12" s="4"/>
      <c r="BB12" s="4"/>
      <c r="BF12" s="4"/>
      <c r="BJ12" s="4"/>
      <c r="BN12" s="4"/>
      <c r="BR12" s="4"/>
      <c r="BV12" s="4"/>
      <c r="BZ12" s="4"/>
      <c r="CD12" s="4"/>
      <c r="CH12" s="4"/>
      <c r="CL12" s="4"/>
      <c r="CP12" s="4"/>
      <c r="CT12" s="4"/>
      <c r="CX12" s="4"/>
      <c r="DB12" s="4"/>
      <c r="DF12" s="4"/>
      <c r="DJ12" s="4"/>
      <c r="DN12" s="4"/>
      <c r="DR12" s="4"/>
      <c r="DV12" s="4"/>
    </row>
    <row r="13" spans="1:135">
      <c r="A13" s="2" t="s">
        <v>64</v>
      </c>
      <c r="J13" s="4"/>
      <c r="N13" s="4"/>
      <c r="R13" s="4"/>
      <c r="V13" s="4"/>
      <c r="Z13" s="4"/>
      <c r="AD13" s="4"/>
      <c r="AH13" s="4"/>
      <c r="AL13" s="4"/>
      <c r="AP13" s="4"/>
      <c r="AT13" s="4"/>
      <c r="AX13" s="4"/>
      <c r="BB13" s="4"/>
      <c r="BF13" s="4"/>
      <c r="BJ13" s="4"/>
      <c r="BN13" s="4"/>
      <c r="BR13" s="4"/>
      <c r="BV13" s="4"/>
      <c r="BZ13" s="4"/>
      <c r="CD13" s="4"/>
      <c r="CH13" s="4"/>
      <c r="CL13" s="4"/>
      <c r="CP13" s="4"/>
      <c r="CT13" s="4"/>
      <c r="CX13" s="4"/>
      <c r="DB13" s="4"/>
      <c r="DF13" s="4"/>
      <c r="DJ13" s="4"/>
      <c r="DN13" s="4"/>
      <c r="DR13" s="4"/>
      <c r="DV13" s="4"/>
    </row>
    <row r="14" spans="1:135">
      <c r="A14" s="2" t="s">
        <v>65</v>
      </c>
      <c r="J14" s="4"/>
      <c r="N14" s="4"/>
      <c r="R14" s="4"/>
      <c r="V14" s="4"/>
      <c r="Z14" s="4"/>
      <c r="AD14" s="4"/>
      <c r="AH14" s="4"/>
      <c r="AL14" s="4"/>
      <c r="AP14" s="4"/>
      <c r="AT14" s="4"/>
      <c r="AX14" s="4"/>
      <c r="BB14" s="4"/>
      <c r="BF14" s="4"/>
      <c r="BJ14" s="4"/>
      <c r="BN14" s="4"/>
      <c r="BR14" s="4"/>
      <c r="BV14" s="4"/>
      <c r="BZ14" s="4"/>
      <c r="CD14" s="4"/>
      <c r="CH14" s="4"/>
      <c r="CL14" s="4"/>
      <c r="CP14" s="4"/>
      <c r="CT14" s="4"/>
      <c r="CX14" s="4"/>
      <c r="DB14" s="4"/>
      <c r="DF14" s="4"/>
      <c r="DJ14" s="4"/>
      <c r="DN14" s="4"/>
      <c r="DR14" s="4"/>
      <c r="DV14" s="4"/>
    </row>
    <row r="15" spans="1:135">
      <c r="A15" s="2" t="s">
        <v>66</v>
      </c>
      <c r="J15" s="4"/>
      <c r="N15" s="4"/>
      <c r="R15" s="4"/>
      <c r="V15" s="4"/>
      <c r="Z15" s="4"/>
      <c r="AD15" s="4"/>
      <c r="AH15" s="4"/>
      <c r="AL15" s="4"/>
      <c r="AP15" s="4"/>
      <c r="AT15" s="4"/>
      <c r="AX15" s="4"/>
      <c r="BB15" s="4"/>
      <c r="BF15" s="4"/>
      <c r="BJ15" s="4"/>
      <c r="BN15" s="4"/>
      <c r="BR15" s="4"/>
      <c r="BV15" s="4"/>
      <c r="BZ15" s="4"/>
      <c r="CD15" s="4"/>
      <c r="CH15" s="4"/>
      <c r="CL15" s="4"/>
      <c r="CP15" s="4"/>
      <c r="CT15" s="4"/>
      <c r="CX15" s="4"/>
      <c r="DB15" s="4"/>
      <c r="DF15" s="4"/>
      <c r="DJ15" s="4"/>
      <c r="DN15" s="4"/>
      <c r="DR15" s="4"/>
      <c r="DV15" s="4"/>
    </row>
    <row r="16" spans="1:135">
      <c r="A16" s="2" t="s">
        <v>110</v>
      </c>
      <c r="J16" s="4"/>
      <c r="N16" s="4"/>
      <c r="R16" s="4"/>
      <c r="V16" s="4"/>
      <c r="Z16" s="4"/>
      <c r="AD16" s="4"/>
      <c r="AH16" s="4"/>
      <c r="AL16" s="4"/>
      <c r="AP16" s="4"/>
      <c r="AT16" s="4"/>
      <c r="AX16" s="4"/>
      <c r="BB16" s="4"/>
      <c r="BF16" s="4"/>
      <c r="BJ16" s="4"/>
      <c r="BN16" s="4"/>
      <c r="BR16" s="4"/>
      <c r="BV16" s="4"/>
      <c r="BZ16" s="4"/>
      <c r="CD16" s="4"/>
      <c r="CH16" s="4"/>
      <c r="CL16" s="4"/>
      <c r="CP16" s="4"/>
      <c r="CT16" s="4"/>
      <c r="CX16" s="4"/>
      <c r="DB16" s="4"/>
      <c r="DF16" s="4"/>
      <c r="DJ16" s="4"/>
      <c r="DN16" s="4"/>
      <c r="DR16" s="4"/>
      <c r="DV16" s="4"/>
    </row>
    <row r="17" spans="1:126">
      <c r="A17" s="2" t="s">
        <v>111</v>
      </c>
      <c r="J17" s="4"/>
      <c r="N17" s="4"/>
      <c r="R17" s="4"/>
      <c r="V17" s="4"/>
      <c r="Z17" s="4"/>
      <c r="AD17" s="4"/>
      <c r="AH17" s="4"/>
      <c r="AL17" s="4"/>
      <c r="AP17" s="4"/>
      <c r="AT17" s="4"/>
      <c r="AX17" s="4"/>
      <c r="BB17" s="4"/>
      <c r="BF17" s="4"/>
      <c r="BJ17" s="4"/>
      <c r="BN17" s="4"/>
      <c r="BR17" s="4"/>
      <c r="BV17" s="4"/>
      <c r="BZ17" s="4"/>
      <c r="CD17" s="4"/>
      <c r="CH17" s="4"/>
      <c r="CL17" s="4"/>
      <c r="CP17" s="4"/>
      <c r="CT17" s="4"/>
      <c r="CX17" s="4"/>
      <c r="DB17" s="4"/>
      <c r="DF17" s="4"/>
      <c r="DJ17" s="4"/>
      <c r="DN17" s="4"/>
      <c r="DR17" s="4"/>
      <c r="DV17" s="4"/>
    </row>
    <row r="18" spans="1:126">
      <c r="A18" s="2" t="s">
        <v>10</v>
      </c>
      <c r="B18" s="19">
        <f>121-2</f>
        <v>119</v>
      </c>
      <c r="J18" s="4"/>
      <c r="N18" s="4"/>
      <c r="R18" s="4"/>
      <c r="V18" s="4"/>
      <c r="Z18" s="4"/>
      <c r="AD18" s="4"/>
      <c r="AH18" s="4"/>
      <c r="AL18" s="4"/>
      <c r="AP18" s="4"/>
      <c r="AT18" s="4"/>
      <c r="AX18" s="4"/>
      <c r="BB18" s="4"/>
      <c r="BF18" s="4"/>
      <c r="BJ18" s="4"/>
      <c r="BN18" s="4"/>
      <c r="BR18" s="4"/>
      <c r="BV18" s="4"/>
      <c r="BZ18" s="4"/>
      <c r="CD18" s="4"/>
      <c r="CH18" s="4"/>
      <c r="CL18" s="4"/>
      <c r="CP18" s="4"/>
      <c r="CT18" s="4"/>
      <c r="CX18" s="4"/>
      <c r="DB18" s="4"/>
      <c r="DF18" s="4"/>
      <c r="DJ18" s="4"/>
      <c r="DN18" s="4"/>
      <c r="DR18" s="4"/>
      <c r="DV18" s="4"/>
    </row>
    <row r="19" spans="1:126">
      <c r="A19" s="2" t="s">
        <v>67</v>
      </c>
      <c r="B19" s="19">
        <v>17</v>
      </c>
      <c r="J19" s="4"/>
      <c r="N19" s="4"/>
      <c r="R19" s="4"/>
      <c r="V19" s="4"/>
      <c r="Z19" s="4"/>
      <c r="AD19" s="4"/>
      <c r="AH19" s="4"/>
      <c r="AL19" s="4"/>
      <c r="AP19" s="4"/>
      <c r="AT19" s="4"/>
      <c r="AX19" s="4"/>
      <c r="BB19" s="4"/>
      <c r="BF19" s="4"/>
      <c r="BJ19" s="4"/>
      <c r="BN19" s="4"/>
      <c r="BR19" s="4"/>
      <c r="BV19" s="4"/>
      <c r="BZ19" s="4"/>
      <c r="CD19" s="4"/>
      <c r="CH19" s="4"/>
      <c r="CL19" s="4"/>
      <c r="CP19" s="4"/>
      <c r="CT19" s="4"/>
      <c r="CX19" s="4"/>
      <c r="DB19" s="4"/>
      <c r="DF19" s="4"/>
      <c r="DJ19" s="4"/>
      <c r="DN19" s="4"/>
      <c r="DR19" s="4"/>
      <c r="DV19" s="4"/>
    </row>
    <row r="20" spans="1:126">
      <c r="A20" s="2" t="s">
        <v>68</v>
      </c>
      <c r="B20" s="19">
        <v>93</v>
      </c>
      <c r="J20" s="4"/>
      <c r="N20" s="4"/>
      <c r="R20" s="4"/>
      <c r="V20" s="4"/>
      <c r="Z20" s="4"/>
      <c r="AD20" s="4"/>
      <c r="AH20" s="4"/>
      <c r="AL20" s="4"/>
      <c r="AP20" s="4"/>
      <c r="AT20" s="4"/>
      <c r="AX20" s="4"/>
      <c r="BB20" s="4"/>
      <c r="BF20" s="4"/>
      <c r="BJ20" s="4"/>
      <c r="BN20" s="4"/>
      <c r="BR20" s="4"/>
      <c r="BV20" s="4"/>
      <c r="BZ20" s="4"/>
      <c r="CD20" s="4"/>
      <c r="CH20" s="4"/>
      <c r="CL20" s="4"/>
      <c r="CP20" s="4"/>
      <c r="CT20" s="4"/>
      <c r="CX20" s="4"/>
      <c r="DB20" s="4"/>
      <c r="DF20" s="4"/>
      <c r="DJ20" s="4"/>
      <c r="DN20" s="4"/>
      <c r="DR20" s="4"/>
      <c r="DV20" s="4"/>
    </row>
    <row r="21" spans="1:126">
      <c r="A21" s="2" t="s">
        <v>69</v>
      </c>
      <c r="B21" s="19">
        <v>2</v>
      </c>
      <c r="J21" s="4"/>
      <c r="N21" s="4"/>
      <c r="R21" s="4"/>
      <c r="V21" s="4"/>
      <c r="Z21" s="4"/>
      <c r="AD21" s="4"/>
      <c r="AH21" s="4"/>
      <c r="AL21" s="4"/>
      <c r="AP21" s="4"/>
      <c r="AT21" s="4"/>
      <c r="AX21" s="4"/>
      <c r="BB21" s="4"/>
      <c r="BF21" s="4"/>
      <c r="BJ21" s="4"/>
      <c r="BN21" s="4"/>
      <c r="BR21" s="4"/>
      <c r="BV21" s="4"/>
      <c r="BZ21" s="4"/>
      <c r="CD21" s="4"/>
      <c r="CH21" s="4"/>
      <c r="CL21" s="4"/>
      <c r="CP21" s="4"/>
      <c r="CT21" s="4"/>
      <c r="CX21" s="4"/>
      <c r="DB21" s="4"/>
      <c r="DF21" s="4"/>
      <c r="DJ21" s="4"/>
      <c r="DN21" s="4"/>
      <c r="DR21" s="4"/>
      <c r="DV21" s="4"/>
    </row>
    <row r="22" spans="1:126">
      <c r="A22" s="2" t="s">
        <v>70</v>
      </c>
      <c r="J22" s="4"/>
      <c r="N22" s="4"/>
      <c r="R22" s="4"/>
      <c r="V22" s="4"/>
      <c r="Z22" s="4"/>
      <c r="AD22" s="4"/>
      <c r="AH22" s="4"/>
      <c r="AL22" s="4"/>
      <c r="AP22" s="4"/>
      <c r="AT22" s="4"/>
      <c r="AX22" s="4"/>
      <c r="BB22" s="4"/>
      <c r="BF22" s="4"/>
      <c r="BJ22" s="4"/>
      <c r="BN22" s="4"/>
      <c r="BR22" s="4"/>
      <c r="BV22" s="4"/>
      <c r="BZ22" s="4"/>
      <c r="CD22" s="4"/>
      <c r="CH22" s="4"/>
      <c r="CL22" s="4"/>
      <c r="CP22" s="4"/>
      <c r="CT22" s="4"/>
      <c r="CX22" s="4"/>
      <c r="DB22" s="4"/>
      <c r="DF22" s="4"/>
      <c r="DJ22" s="4"/>
      <c r="DN22" s="4"/>
      <c r="DR22" s="4"/>
      <c r="DV22" s="4"/>
    </row>
    <row r="23" spans="1:126">
      <c r="A23" s="2" t="s">
        <v>13</v>
      </c>
      <c r="J23" s="4"/>
      <c r="N23" s="4"/>
      <c r="R23" s="4"/>
      <c r="V23" s="4"/>
      <c r="Z23" s="4"/>
      <c r="AD23" s="4"/>
      <c r="AH23" s="4"/>
      <c r="AL23" s="4"/>
      <c r="AP23" s="4"/>
      <c r="AT23" s="4"/>
      <c r="AX23" s="4"/>
      <c r="BB23" s="4"/>
      <c r="BF23" s="4"/>
      <c r="BJ23" s="4"/>
      <c r="BN23" s="4"/>
      <c r="BR23" s="4"/>
      <c r="BV23" s="4"/>
      <c r="BZ23" s="4"/>
      <c r="CD23" s="4"/>
      <c r="CH23" s="4"/>
      <c r="CL23" s="4"/>
      <c r="CP23" s="4"/>
      <c r="CT23" s="4"/>
      <c r="CX23" s="4"/>
      <c r="DB23" s="4"/>
      <c r="DF23" s="4"/>
      <c r="DJ23" s="4"/>
      <c r="DN23" s="4"/>
      <c r="DR23" s="4"/>
      <c r="DV23" s="4"/>
    </row>
    <row r="24" spans="1:126">
      <c r="A24" s="2" t="s">
        <v>71</v>
      </c>
      <c r="J24" s="4"/>
      <c r="N24" s="4"/>
      <c r="R24" s="4"/>
      <c r="V24" s="4"/>
      <c r="Z24" s="4"/>
      <c r="AD24" s="4"/>
      <c r="AH24" s="4"/>
      <c r="AL24" s="4"/>
      <c r="AP24" s="4"/>
      <c r="AT24" s="4"/>
      <c r="AX24" s="4"/>
      <c r="BB24" s="4"/>
      <c r="BF24" s="4"/>
      <c r="BJ24" s="4"/>
      <c r="BN24" s="4"/>
      <c r="BR24" s="4"/>
      <c r="BV24" s="4"/>
      <c r="BZ24" s="4"/>
      <c r="CD24" s="4"/>
      <c r="CH24" s="4"/>
      <c r="CL24" s="4"/>
      <c r="CP24" s="4"/>
      <c r="CT24" s="4"/>
      <c r="CX24" s="4"/>
      <c r="DB24" s="4"/>
      <c r="DF24" s="4"/>
      <c r="DJ24" s="4"/>
      <c r="DN24" s="4"/>
      <c r="DR24" s="4"/>
      <c r="DV24" s="4"/>
    </row>
    <row r="25" spans="1:126">
      <c r="A25" s="2" t="s">
        <v>11</v>
      </c>
      <c r="B25" s="19">
        <v>8</v>
      </c>
      <c r="J25" s="4"/>
      <c r="N25" s="4"/>
      <c r="R25" s="4"/>
      <c r="V25" s="4"/>
      <c r="Z25" s="4"/>
      <c r="AD25" s="4"/>
      <c r="AH25" s="4"/>
      <c r="AL25" s="4"/>
      <c r="AP25" s="4"/>
      <c r="AT25" s="4"/>
      <c r="AX25" s="4"/>
      <c r="BB25" s="4"/>
      <c r="BF25" s="4"/>
      <c r="BJ25" s="4"/>
      <c r="BN25" s="4"/>
      <c r="BR25" s="4"/>
      <c r="BV25" s="4"/>
      <c r="BZ25" s="4"/>
      <c r="CD25" s="4"/>
      <c r="CH25" s="4"/>
      <c r="CL25" s="4"/>
      <c r="CP25" s="4"/>
      <c r="CT25" s="4"/>
      <c r="CX25" s="4"/>
      <c r="DB25" s="4"/>
      <c r="DF25" s="4"/>
      <c r="DJ25" s="4"/>
      <c r="DN25" s="4"/>
      <c r="DR25" s="4"/>
      <c r="DV25" s="4"/>
    </row>
    <row r="26" spans="1:126">
      <c r="A26" s="2" t="s">
        <v>12</v>
      </c>
      <c r="B26" s="19">
        <v>129</v>
      </c>
      <c r="J26" s="4"/>
      <c r="N26" s="4"/>
      <c r="R26" s="4"/>
      <c r="V26" s="4"/>
      <c r="Z26" s="4"/>
      <c r="AD26" s="4"/>
      <c r="AH26" s="4"/>
      <c r="AL26" s="4"/>
      <c r="AP26" s="4"/>
      <c r="AT26" s="4"/>
      <c r="AX26" s="4"/>
      <c r="BB26" s="4"/>
      <c r="BF26" s="4"/>
      <c r="BJ26" s="4"/>
      <c r="BN26" s="4"/>
      <c r="BR26" s="4"/>
      <c r="BV26" s="4"/>
      <c r="BZ26" s="4"/>
      <c r="CD26" s="4"/>
      <c r="CH26" s="4"/>
      <c r="CL26" s="4"/>
      <c r="CP26" s="4"/>
      <c r="CT26" s="4"/>
      <c r="CX26" s="4"/>
      <c r="DB26" s="4"/>
      <c r="DF26" s="4"/>
      <c r="DJ26" s="4"/>
      <c r="DN26" s="4"/>
      <c r="DR26" s="4"/>
      <c r="DV26" s="4"/>
    </row>
    <row r="27" spans="1:126">
      <c r="A27" s="2" t="s">
        <v>72</v>
      </c>
      <c r="J27" s="4"/>
      <c r="N27" s="4"/>
      <c r="R27" s="4"/>
      <c r="V27" s="4"/>
      <c r="Z27" s="4"/>
      <c r="AD27" s="4"/>
      <c r="AH27" s="4"/>
      <c r="AL27" s="4"/>
      <c r="AP27" s="4"/>
      <c r="AT27" s="4"/>
      <c r="AX27" s="4"/>
      <c r="BB27" s="4"/>
      <c r="BF27" s="4"/>
      <c r="BJ27" s="4"/>
      <c r="BN27" s="4"/>
      <c r="BR27" s="4"/>
      <c r="BV27" s="4"/>
      <c r="BZ27" s="4"/>
      <c r="CD27" s="4"/>
      <c r="CH27" s="4"/>
      <c r="CL27" s="4"/>
      <c r="CP27" s="4"/>
      <c r="CT27" s="4"/>
      <c r="CX27" s="4"/>
      <c r="DB27" s="4"/>
      <c r="DF27" s="4"/>
      <c r="DJ27" s="4"/>
      <c r="DN27" s="4"/>
      <c r="DR27" s="4"/>
      <c r="DV27" s="4"/>
    </row>
    <row r="28" spans="1:126">
      <c r="A28" s="2" t="s">
        <v>73</v>
      </c>
      <c r="B28" s="19">
        <v>103</v>
      </c>
      <c r="J28" s="4"/>
      <c r="N28" s="4"/>
      <c r="R28" s="4"/>
      <c r="V28" s="4"/>
      <c r="Z28" s="4"/>
      <c r="AD28" s="4"/>
      <c r="AH28" s="4"/>
      <c r="AL28" s="4"/>
      <c r="AP28" s="4"/>
      <c r="AT28" s="4"/>
      <c r="AX28" s="4"/>
      <c r="BB28" s="4"/>
      <c r="BF28" s="4"/>
      <c r="BJ28" s="4"/>
      <c r="BN28" s="4"/>
      <c r="BR28" s="4"/>
      <c r="BV28" s="4"/>
      <c r="BZ28" s="4"/>
      <c r="CD28" s="4"/>
      <c r="CH28" s="4"/>
      <c r="CL28" s="4"/>
      <c r="CP28" s="4"/>
      <c r="CT28" s="4"/>
      <c r="CX28" s="4"/>
      <c r="DB28" s="4"/>
      <c r="DF28" s="4"/>
      <c r="DJ28" s="4"/>
      <c r="DN28" s="4"/>
      <c r="DR28" s="4"/>
      <c r="DV28" s="4"/>
    </row>
    <row r="29" spans="1:126">
      <c r="A29" s="2" t="s">
        <v>14</v>
      </c>
      <c r="B29" s="19">
        <f>421-50-4-2</f>
        <v>365</v>
      </c>
      <c r="J29" s="4"/>
      <c r="N29" s="4"/>
      <c r="R29" s="4"/>
      <c r="V29" s="4"/>
      <c r="Z29" s="4"/>
      <c r="AD29" s="4"/>
      <c r="AH29" s="4"/>
      <c r="AL29" s="4"/>
      <c r="AP29" s="4"/>
      <c r="AT29" s="4"/>
      <c r="AX29" s="4"/>
      <c r="BB29" s="4"/>
      <c r="BF29" s="4"/>
      <c r="BJ29" s="4"/>
      <c r="BN29" s="4"/>
      <c r="BR29" s="4"/>
      <c r="BV29" s="4"/>
      <c r="BZ29" s="4"/>
      <c r="CD29" s="4"/>
      <c r="CH29" s="4"/>
      <c r="CL29" s="4"/>
      <c r="CP29" s="4"/>
      <c r="CT29" s="4"/>
      <c r="CX29" s="4"/>
      <c r="DB29" s="4"/>
      <c r="DF29" s="4"/>
      <c r="DJ29" s="4"/>
      <c r="DN29" s="4"/>
      <c r="DR29" s="4"/>
      <c r="DV29" s="4"/>
    </row>
    <row r="30" spans="1:126">
      <c r="A30" s="2" t="s">
        <v>15</v>
      </c>
      <c r="B30" s="19">
        <f>9-3</f>
        <v>6</v>
      </c>
      <c r="J30" s="4"/>
      <c r="N30" s="4"/>
      <c r="R30" s="4"/>
      <c r="V30" s="4"/>
      <c r="Z30" s="4"/>
      <c r="AD30" s="4"/>
      <c r="AH30" s="4"/>
      <c r="AL30" s="4"/>
      <c r="AP30" s="4"/>
      <c r="AT30" s="4"/>
      <c r="AX30" s="4"/>
      <c r="BB30" s="4"/>
      <c r="BF30" s="4"/>
      <c r="BJ30" s="4"/>
      <c r="BN30" s="4"/>
      <c r="BR30" s="4"/>
      <c r="BV30" s="4"/>
      <c r="BZ30" s="4"/>
      <c r="CD30" s="4"/>
      <c r="CH30" s="4"/>
      <c r="CL30" s="4"/>
      <c r="CP30" s="4"/>
      <c r="CT30" s="4"/>
      <c r="CX30" s="4"/>
      <c r="DB30" s="4"/>
      <c r="DF30" s="4"/>
      <c r="DJ30" s="4"/>
      <c r="DN30" s="4"/>
      <c r="DR30" s="4"/>
      <c r="DV30" s="4"/>
    </row>
    <row r="31" spans="1:126">
      <c r="A31" s="2" t="s">
        <v>55</v>
      </c>
      <c r="B31" s="19">
        <f>11-3</f>
        <v>8</v>
      </c>
      <c r="J31" s="4"/>
      <c r="N31" s="4"/>
      <c r="R31" s="4"/>
      <c r="V31" s="4"/>
      <c r="Z31" s="4"/>
      <c r="AD31" s="4"/>
      <c r="AH31" s="4"/>
      <c r="AL31" s="4"/>
      <c r="AP31" s="4"/>
      <c r="AT31" s="4"/>
      <c r="AX31" s="4"/>
      <c r="BB31" s="4"/>
      <c r="BF31" s="4"/>
      <c r="BJ31" s="4"/>
      <c r="BN31" s="4"/>
      <c r="BR31" s="4"/>
      <c r="BV31" s="4"/>
      <c r="BZ31" s="4"/>
      <c r="CD31" s="4"/>
      <c r="CH31" s="4"/>
      <c r="CL31" s="4"/>
      <c r="CP31" s="4"/>
      <c r="CT31" s="4"/>
      <c r="CX31" s="4"/>
      <c r="DB31" s="4"/>
      <c r="DF31" s="4"/>
      <c r="DJ31" s="4"/>
      <c r="DN31" s="4"/>
      <c r="DR31" s="4"/>
      <c r="DV31" s="4"/>
    </row>
    <row r="32" spans="1:126">
      <c r="A32" s="2" t="s">
        <v>89</v>
      </c>
      <c r="J32" s="4"/>
      <c r="N32" s="4"/>
      <c r="R32" s="4"/>
      <c r="V32" s="4"/>
      <c r="Z32" s="4"/>
      <c r="AD32" s="4"/>
      <c r="AH32" s="4"/>
      <c r="AL32" s="4"/>
      <c r="AP32" s="4"/>
      <c r="AT32" s="4"/>
      <c r="AX32" s="4"/>
      <c r="BB32" s="4"/>
      <c r="BF32" s="4"/>
      <c r="BJ32" s="4"/>
      <c r="BN32" s="4"/>
      <c r="BR32" s="4"/>
      <c r="BV32" s="4"/>
      <c r="BZ32" s="4"/>
      <c r="CD32" s="4"/>
      <c r="CH32" s="4"/>
      <c r="CL32" s="4"/>
      <c r="CP32" s="4"/>
      <c r="CT32" s="4"/>
      <c r="CX32" s="4"/>
      <c r="DB32" s="4"/>
      <c r="DF32" s="4"/>
      <c r="DJ32" s="4"/>
      <c r="DN32" s="4"/>
      <c r="DR32" s="4"/>
      <c r="DV32" s="4"/>
    </row>
    <row r="33" spans="1:126">
      <c r="A33" s="2" t="s">
        <v>16</v>
      </c>
      <c r="J33" s="4"/>
      <c r="N33" s="4"/>
      <c r="R33" s="4"/>
      <c r="V33" s="4"/>
      <c r="Z33" s="4"/>
      <c r="AD33" s="4"/>
      <c r="AH33" s="4"/>
      <c r="AL33" s="4"/>
      <c r="AP33" s="4"/>
      <c r="AT33" s="4"/>
      <c r="AX33" s="4"/>
      <c r="BB33" s="4"/>
      <c r="BF33" s="4"/>
      <c r="BJ33" s="4"/>
      <c r="BN33" s="4"/>
      <c r="BR33" s="4"/>
      <c r="BV33" s="4"/>
      <c r="BZ33" s="4"/>
      <c r="CD33" s="4"/>
      <c r="CH33" s="4"/>
      <c r="CL33" s="4"/>
      <c r="CP33" s="4"/>
      <c r="CT33" s="4"/>
      <c r="CX33" s="4"/>
      <c r="DB33" s="4"/>
      <c r="DF33" s="4"/>
      <c r="DJ33" s="4"/>
      <c r="DN33" s="4"/>
      <c r="DR33" s="4"/>
      <c r="DV33" s="4"/>
    </row>
    <row r="34" spans="1:126">
      <c r="A34" s="2" t="s">
        <v>17</v>
      </c>
      <c r="B34" s="19">
        <v>3</v>
      </c>
      <c r="J34" s="4"/>
      <c r="N34" s="4"/>
      <c r="R34" s="4"/>
      <c r="V34" s="4"/>
      <c r="Z34" s="4"/>
      <c r="AD34" s="4"/>
      <c r="AH34" s="4"/>
      <c r="AL34" s="4"/>
      <c r="AP34" s="4"/>
      <c r="AT34" s="4"/>
      <c r="AX34" s="4"/>
      <c r="BB34" s="4"/>
      <c r="BF34" s="4"/>
      <c r="BJ34" s="4"/>
      <c r="BN34" s="4"/>
      <c r="BR34" s="4"/>
      <c r="BV34" s="4"/>
      <c r="BZ34" s="4"/>
      <c r="CD34" s="4"/>
      <c r="CH34" s="4"/>
      <c r="CL34" s="4"/>
      <c r="CP34" s="4"/>
      <c r="CT34" s="4"/>
      <c r="CX34" s="4"/>
      <c r="DB34" s="4"/>
      <c r="DF34" s="4"/>
      <c r="DJ34" s="4"/>
      <c r="DN34" s="4"/>
      <c r="DR34" s="4"/>
      <c r="DV34" s="4"/>
    </row>
    <row r="35" spans="1:126">
      <c r="A35" s="2" t="s">
        <v>74</v>
      </c>
      <c r="B35" s="19">
        <v>0</v>
      </c>
      <c r="J35" s="4"/>
      <c r="N35" s="4"/>
      <c r="R35" s="4"/>
      <c r="V35" s="4"/>
      <c r="Z35" s="4"/>
      <c r="AD35" s="4"/>
      <c r="AH35" s="4"/>
      <c r="AL35" s="4"/>
      <c r="AP35" s="4"/>
      <c r="AT35" s="4"/>
      <c r="AX35" s="4"/>
      <c r="BB35" s="4"/>
      <c r="BF35" s="4"/>
      <c r="BJ35" s="4"/>
      <c r="BN35" s="4"/>
      <c r="BR35" s="4"/>
      <c r="BV35" s="4"/>
      <c r="BZ35" s="4"/>
      <c r="CD35" s="4"/>
      <c r="CH35" s="4"/>
      <c r="CL35" s="4"/>
      <c r="CP35" s="4"/>
      <c r="CT35" s="4"/>
      <c r="CX35" s="4"/>
      <c r="DB35" s="4"/>
      <c r="DF35" s="4"/>
      <c r="DJ35" s="4"/>
      <c r="DN35" s="4"/>
      <c r="DR35" s="4"/>
      <c r="DV35" s="4"/>
    </row>
    <row r="36" spans="1:126">
      <c r="A36" s="2" t="s">
        <v>18</v>
      </c>
      <c r="B36" s="19">
        <f>66-1</f>
        <v>65</v>
      </c>
      <c r="J36" s="4"/>
      <c r="N36" s="4"/>
      <c r="R36" s="4"/>
      <c r="V36" s="4"/>
      <c r="Z36" s="4"/>
      <c r="AD36" s="4"/>
      <c r="AH36" s="4"/>
      <c r="AL36" s="4"/>
      <c r="AP36" s="4"/>
      <c r="AT36" s="4"/>
      <c r="AX36" s="4"/>
      <c r="BB36" s="4"/>
      <c r="BF36" s="4"/>
      <c r="BJ36" s="4"/>
      <c r="BN36" s="4"/>
      <c r="BR36" s="4"/>
      <c r="BV36" s="4"/>
      <c r="BZ36" s="4"/>
      <c r="CD36" s="4"/>
      <c r="CH36" s="4"/>
      <c r="CL36" s="4"/>
      <c r="CP36" s="4"/>
      <c r="CT36" s="4"/>
      <c r="CX36" s="4"/>
      <c r="DB36" s="4"/>
      <c r="DF36" s="4"/>
      <c r="DJ36" s="4"/>
      <c r="DN36" s="4"/>
      <c r="DR36" s="4"/>
      <c r="DV36" s="4"/>
    </row>
    <row r="37" spans="1:126">
      <c r="A37" s="2" t="s">
        <v>75</v>
      </c>
      <c r="B37" s="19">
        <v>132</v>
      </c>
      <c r="J37" s="4"/>
      <c r="N37" s="4"/>
      <c r="R37" s="4"/>
      <c r="V37" s="4"/>
      <c r="Z37" s="4"/>
      <c r="AD37" s="4"/>
      <c r="AH37" s="4"/>
      <c r="AL37" s="4"/>
      <c r="AP37" s="4"/>
      <c r="AT37" s="4"/>
      <c r="AX37" s="4"/>
      <c r="BB37" s="4"/>
      <c r="BF37" s="4"/>
      <c r="BJ37" s="4"/>
      <c r="BN37" s="4"/>
      <c r="BR37" s="4"/>
      <c r="BV37" s="4"/>
      <c r="BZ37" s="4"/>
      <c r="CD37" s="4"/>
      <c r="CH37" s="4"/>
      <c r="CL37" s="4"/>
      <c r="CP37" s="4"/>
      <c r="CT37" s="4"/>
      <c r="CX37" s="4"/>
      <c r="DB37" s="4"/>
      <c r="DF37" s="4"/>
      <c r="DJ37" s="4"/>
      <c r="DN37" s="4"/>
      <c r="DR37" s="4"/>
      <c r="DV37" s="4"/>
    </row>
    <row r="38" spans="1:126">
      <c r="A38" s="2" t="s">
        <v>76</v>
      </c>
      <c r="J38" s="4"/>
      <c r="N38" s="4"/>
      <c r="R38" s="4"/>
      <c r="V38" s="4"/>
      <c r="Z38" s="4"/>
      <c r="AD38" s="4"/>
      <c r="AH38" s="4"/>
      <c r="AL38" s="4"/>
      <c r="AP38" s="4"/>
      <c r="AT38" s="4"/>
      <c r="AX38" s="4"/>
      <c r="BB38" s="4"/>
      <c r="BF38" s="4"/>
      <c r="BJ38" s="4"/>
      <c r="BN38" s="4"/>
      <c r="BR38" s="4"/>
      <c r="BV38" s="4"/>
      <c r="BZ38" s="4"/>
      <c r="CD38" s="4"/>
      <c r="CH38" s="4"/>
      <c r="CL38" s="4"/>
      <c r="CP38" s="4"/>
      <c r="CT38" s="4"/>
      <c r="CX38" s="4"/>
      <c r="DB38" s="4"/>
      <c r="DF38" s="4"/>
      <c r="DJ38" s="4"/>
      <c r="DN38" s="4"/>
      <c r="DR38" s="4"/>
      <c r="DV38" s="4"/>
    </row>
    <row r="39" spans="1:126">
      <c r="A39" s="2" t="s">
        <v>19</v>
      </c>
      <c r="B39" s="19">
        <f>117-1</f>
        <v>116</v>
      </c>
      <c r="J39" s="4"/>
      <c r="N39" s="4"/>
      <c r="R39" s="4"/>
      <c r="V39" s="4"/>
      <c r="Z39" s="4"/>
      <c r="AD39" s="4"/>
      <c r="AH39" s="4"/>
      <c r="AL39" s="4"/>
      <c r="AP39" s="4"/>
      <c r="AT39" s="4"/>
      <c r="AX39" s="4"/>
      <c r="BB39" s="4"/>
      <c r="BF39" s="4"/>
      <c r="BJ39" s="4"/>
      <c r="BN39" s="4"/>
      <c r="BR39" s="4"/>
      <c r="BV39" s="4"/>
      <c r="BZ39" s="4"/>
      <c r="CD39" s="4"/>
      <c r="CH39" s="4"/>
      <c r="CL39" s="4"/>
      <c r="CP39" s="4"/>
      <c r="CT39" s="4"/>
      <c r="CX39" s="4"/>
      <c r="DB39" s="4"/>
      <c r="DF39" s="4"/>
      <c r="DJ39" s="4"/>
      <c r="DN39" s="4"/>
      <c r="DR39" s="4"/>
      <c r="DV39" s="4"/>
    </row>
    <row r="40" spans="1:126">
      <c r="A40" s="2" t="s">
        <v>20</v>
      </c>
      <c r="B40" s="19">
        <f>108-2-2</f>
        <v>104</v>
      </c>
      <c r="J40" s="4"/>
      <c r="N40" s="4"/>
      <c r="R40" s="4"/>
      <c r="V40" s="4"/>
      <c r="Z40" s="4"/>
      <c r="AD40" s="4"/>
      <c r="AH40" s="4"/>
      <c r="AL40" s="4"/>
      <c r="AP40" s="4"/>
      <c r="AT40" s="4"/>
      <c r="AX40" s="4"/>
      <c r="BB40" s="4"/>
      <c r="BF40" s="4"/>
      <c r="BJ40" s="4"/>
      <c r="BN40" s="4"/>
      <c r="BR40" s="4"/>
      <c r="BV40" s="4"/>
      <c r="BZ40" s="4"/>
      <c r="CD40" s="4"/>
      <c r="CH40" s="4"/>
      <c r="CL40" s="4"/>
      <c r="CP40" s="4"/>
      <c r="CT40" s="4"/>
      <c r="CX40" s="4"/>
      <c r="DB40" s="4"/>
      <c r="DF40" s="4"/>
      <c r="DJ40" s="4"/>
      <c r="DN40" s="4"/>
      <c r="DR40" s="4"/>
      <c r="DV40" s="4"/>
    </row>
    <row r="41" spans="1:126">
      <c r="A41" s="2" t="s">
        <v>21</v>
      </c>
      <c r="B41" s="19">
        <v>91</v>
      </c>
      <c r="J41" s="4"/>
      <c r="N41" s="4"/>
      <c r="R41" s="4"/>
      <c r="V41" s="4"/>
      <c r="Z41" s="4"/>
      <c r="AD41" s="4"/>
      <c r="AH41" s="4"/>
      <c r="AL41" s="4"/>
      <c r="AP41" s="4"/>
      <c r="AT41" s="4"/>
      <c r="AX41" s="4"/>
      <c r="BB41" s="4"/>
      <c r="BF41" s="4"/>
      <c r="BJ41" s="4"/>
      <c r="BN41" s="4"/>
      <c r="BR41" s="4"/>
      <c r="BV41" s="4"/>
      <c r="BZ41" s="4"/>
      <c r="CD41" s="4"/>
      <c r="CH41" s="4"/>
      <c r="CL41" s="4"/>
      <c r="CP41" s="4"/>
      <c r="CT41" s="4"/>
      <c r="CX41" s="4"/>
      <c r="DB41" s="4"/>
      <c r="DF41" s="4"/>
      <c r="DJ41" s="4"/>
      <c r="DN41" s="4"/>
      <c r="DR41" s="4"/>
      <c r="DV41" s="4"/>
    </row>
    <row r="42" spans="1:126">
      <c r="A42" s="2" t="s">
        <v>77</v>
      </c>
      <c r="B42" s="19">
        <v>150</v>
      </c>
      <c r="J42" s="4"/>
      <c r="N42" s="4"/>
      <c r="R42" s="4"/>
      <c r="V42" s="4"/>
      <c r="Z42" s="4"/>
      <c r="AD42" s="4"/>
      <c r="AH42" s="4"/>
      <c r="AL42" s="4"/>
      <c r="AP42" s="4"/>
      <c r="AT42" s="4"/>
      <c r="AX42" s="4"/>
      <c r="BB42" s="4"/>
      <c r="BF42" s="4"/>
      <c r="BJ42" s="4"/>
      <c r="BN42" s="4"/>
      <c r="BR42" s="4"/>
      <c r="BV42" s="4"/>
      <c r="BZ42" s="4"/>
      <c r="CD42" s="4"/>
      <c r="CH42" s="4"/>
      <c r="CL42" s="4"/>
      <c r="CP42" s="4"/>
      <c r="CT42" s="4"/>
      <c r="CX42" s="4"/>
      <c r="DB42" s="4"/>
      <c r="DF42" s="4"/>
      <c r="DJ42" s="4"/>
      <c r="DN42" s="4"/>
      <c r="DR42" s="4"/>
      <c r="DV42" s="4"/>
    </row>
    <row r="43" spans="1:126">
      <c r="A43" s="2" t="s">
        <v>78</v>
      </c>
      <c r="J43" s="4"/>
      <c r="N43" s="4"/>
      <c r="R43" s="4"/>
      <c r="V43" s="4"/>
      <c r="Z43" s="4"/>
      <c r="AD43" s="4"/>
      <c r="AH43" s="4"/>
      <c r="AL43" s="4"/>
      <c r="AP43" s="4"/>
      <c r="AT43" s="4"/>
      <c r="AX43" s="4"/>
      <c r="BB43" s="4"/>
      <c r="BF43" s="4"/>
      <c r="BJ43" s="4"/>
      <c r="BN43" s="4"/>
      <c r="BR43" s="4"/>
      <c r="BV43" s="4"/>
      <c r="BZ43" s="4"/>
      <c r="CD43" s="4"/>
      <c r="CH43" s="4"/>
      <c r="CL43" s="4"/>
      <c r="CP43" s="4"/>
      <c r="CT43" s="4"/>
      <c r="CX43" s="4"/>
      <c r="DB43" s="4"/>
      <c r="DF43" s="4"/>
      <c r="DJ43" s="4"/>
      <c r="DN43" s="4"/>
      <c r="DR43" s="4"/>
      <c r="DV43" s="4"/>
    </row>
    <row r="44" spans="1:126">
      <c r="A44" s="2" t="s">
        <v>22</v>
      </c>
      <c r="B44" s="19">
        <v>10</v>
      </c>
      <c r="J44" s="4"/>
      <c r="N44" s="4"/>
      <c r="R44" s="4"/>
      <c r="V44" s="4"/>
      <c r="Z44" s="4"/>
      <c r="AD44" s="4"/>
      <c r="AH44" s="4"/>
      <c r="AL44" s="4"/>
      <c r="AP44" s="4"/>
      <c r="AT44" s="4"/>
      <c r="AX44" s="4"/>
      <c r="BB44" s="4"/>
      <c r="BF44" s="4"/>
      <c r="BJ44" s="4"/>
      <c r="BN44" s="4"/>
      <c r="BR44" s="4"/>
      <c r="BV44" s="4"/>
      <c r="BZ44" s="4"/>
      <c r="CD44" s="4"/>
      <c r="CH44" s="4"/>
      <c r="CL44" s="4"/>
      <c r="CP44" s="4"/>
      <c r="CT44" s="4"/>
      <c r="CX44" s="4"/>
      <c r="DB44" s="4"/>
      <c r="DF44" s="4"/>
      <c r="DJ44" s="4"/>
      <c r="DN44" s="4"/>
      <c r="DR44" s="4"/>
      <c r="DV44" s="4"/>
    </row>
    <row r="45" spans="1:126">
      <c r="A45" s="2" t="s">
        <v>23</v>
      </c>
      <c r="J45" s="4"/>
      <c r="N45" s="4"/>
      <c r="R45" s="4"/>
      <c r="V45" s="4"/>
      <c r="Z45" s="4"/>
      <c r="AD45" s="4"/>
      <c r="AH45" s="4"/>
      <c r="AL45" s="4"/>
      <c r="AP45" s="4"/>
      <c r="AT45" s="4"/>
      <c r="AX45" s="4"/>
      <c r="BB45" s="4"/>
      <c r="BF45" s="4"/>
      <c r="BJ45" s="4"/>
      <c r="BN45" s="4"/>
      <c r="BR45" s="4"/>
      <c r="BV45" s="4"/>
      <c r="BZ45" s="4"/>
      <c r="CD45" s="4"/>
      <c r="CH45" s="4"/>
      <c r="CL45" s="4"/>
      <c r="CP45" s="4"/>
      <c r="CT45" s="4"/>
      <c r="CX45" s="4"/>
      <c r="DB45" s="4"/>
      <c r="DF45" s="4"/>
      <c r="DJ45" s="4"/>
      <c r="DN45" s="4"/>
      <c r="DR45" s="4"/>
      <c r="DV45" s="4"/>
    </row>
    <row r="46" spans="1:126">
      <c r="A46" s="2" t="s">
        <v>24</v>
      </c>
      <c r="B46" s="19">
        <f>83-3</f>
        <v>80</v>
      </c>
      <c r="J46" s="4"/>
      <c r="N46" s="4"/>
      <c r="R46" s="4"/>
      <c r="V46" s="4"/>
      <c r="Z46" s="4"/>
      <c r="AD46" s="4"/>
      <c r="AH46" s="4"/>
      <c r="AL46" s="4"/>
      <c r="AP46" s="4"/>
      <c r="AT46" s="4"/>
      <c r="AX46" s="4"/>
      <c r="BB46" s="4"/>
      <c r="BF46" s="4"/>
      <c r="BJ46" s="4"/>
      <c r="BN46" s="4"/>
      <c r="BR46" s="4"/>
      <c r="BV46" s="4"/>
      <c r="BZ46" s="4"/>
      <c r="CD46" s="4"/>
      <c r="CH46" s="4"/>
      <c r="CL46" s="4"/>
      <c r="CP46" s="4"/>
      <c r="CT46" s="4"/>
      <c r="CX46" s="4"/>
      <c r="DB46" s="4"/>
      <c r="DF46" s="4"/>
      <c r="DJ46" s="4"/>
      <c r="DN46" s="4"/>
      <c r="DR46" s="4"/>
      <c r="DV46" s="4"/>
    </row>
    <row r="47" spans="1:126">
      <c r="A47" s="2" t="s">
        <v>60</v>
      </c>
      <c r="J47" s="4"/>
      <c r="N47" s="4"/>
      <c r="R47" s="4"/>
      <c r="V47" s="4"/>
      <c r="Z47" s="4"/>
      <c r="AD47" s="4"/>
      <c r="AH47" s="4"/>
      <c r="AL47" s="4"/>
      <c r="AP47" s="4"/>
      <c r="AT47" s="4"/>
      <c r="AX47" s="4"/>
      <c r="BB47" s="4"/>
      <c r="BF47" s="4"/>
      <c r="BJ47" s="4"/>
      <c r="BN47" s="4"/>
      <c r="BR47" s="4"/>
      <c r="BV47" s="4"/>
      <c r="BZ47" s="4"/>
      <c r="CD47" s="4"/>
      <c r="CH47" s="4"/>
      <c r="CL47" s="4"/>
      <c r="CP47" s="4"/>
      <c r="CT47" s="4"/>
      <c r="CX47" s="4"/>
      <c r="DB47" s="4"/>
      <c r="DF47" s="4"/>
      <c r="DJ47" s="4"/>
      <c r="DN47" s="4"/>
      <c r="DR47" s="4"/>
      <c r="DV47" s="4"/>
    </row>
    <row r="48" spans="1:126">
      <c r="A48" s="2" t="s">
        <v>93</v>
      </c>
      <c r="B48" s="19">
        <v>5</v>
      </c>
      <c r="J48" s="4"/>
      <c r="N48" s="4"/>
      <c r="R48" s="4"/>
      <c r="V48" s="4"/>
      <c r="Z48" s="4"/>
      <c r="AD48" s="4"/>
      <c r="AH48" s="4"/>
      <c r="AL48" s="4"/>
      <c r="AP48" s="4"/>
      <c r="AT48" s="4"/>
      <c r="AX48" s="4"/>
      <c r="BB48" s="4"/>
      <c r="BF48" s="4"/>
      <c r="BJ48" s="4"/>
      <c r="BN48" s="4"/>
      <c r="BR48" s="4"/>
      <c r="BV48" s="4"/>
      <c r="BZ48" s="4"/>
      <c r="CD48" s="4"/>
      <c r="CH48" s="4"/>
      <c r="CL48" s="4"/>
      <c r="CP48" s="4"/>
      <c r="CT48" s="4"/>
      <c r="CX48" s="4"/>
      <c r="DB48" s="4"/>
      <c r="DF48" s="4"/>
      <c r="DJ48" s="4"/>
      <c r="DN48" s="4"/>
      <c r="DR48" s="4"/>
      <c r="DV48" s="4"/>
    </row>
    <row r="49" spans="1:126">
      <c r="A49" s="2" t="s">
        <v>80</v>
      </c>
      <c r="J49" s="4"/>
      <c r="N49" s="4"/>
      <c r="R49" s="4"/>
      <c r="V49" s="4"/>
      <c r="Z49" s="4"/>
      <c r="AD49" s="4"/>
      <c r="AH49" s="4"/>
      <c r="AL49" s="4"/>
      <c r="AP49" s="4"/>
      <c r="AT49" s="4"/>
      <c r="AX49" s="4"/>
      <c r="BB49" s="4"/>
      <c r="BF49" s="4"/>
      <c r="BJ49" s="4"/>
      <c r="BN49" s="4"/>
      <c r="BR49" s="4"/>
      <c r="BV49" s="4"/>
      <c r="BZ49" s="4"/>
      <c r="CD49" s="4"/>
      <c r="CH49" s="4"/>
      <c r="CL49" s="4"/>
      <c r="CP49" s="4"/>
      <c r="CT49" s="4"/>
      <c r="CX49" s="4"/>
      <c r="DB49" s="4"/>
      <c r="DF49" s="4"/>
      <c r="DJ49" s="4"/>
      <c r="DN49" s="4"/>
      <c r="DR49" s="4"/>
      <c r="DV49" s="4"/>
    </row>
    <row r="50" spans="1:126">
      <c r="A50" s="2" t="s">
        <v>27</v>
      </c>
      <c r="B50" s="19">
        <f>48-1</f>
        <v>47</v>
      </c>
      <c r="J50" s="4"/>
      <c r="N50" s="4"/>
      <c r="R50" s="4"/>
      <c r="V50" s="4"/>
      <c r="Z50" s="4"/>
      <c r="AD50" s="4"/>
      <c r="AH50" s="4"/>
      <c r="AL50" s="4"/>
      <c r="AP50" s="4"/>
      <c r="AT50" s="4"/>
      <c r="AX50" s="4"/>
      <c r="BB50" s="4"/>
      <c r="BF50" s="4"/>
      <c r="BJ50" s="4"/>
      <c r="BN50" s="4"/>
      <c r="BR50" s="4"/>
      <c r="BV50" s="4"/>
      <c r="BZ50" s="4"/>
      <c r="CD50" s="4"/>
      <c r="CH50" s="4"/>
      <c r="CL50" s="4"/>
      <c r="CP50" s="4"/>
      <c r="CT50" s="4"/>
      <c r="CX50" s="4"/>
      <c r="DB50" s="4"/>
      <c r="DF50" s="4"/>
      <c r="DJ50" s="4"/>
      <c r="DN50" s="4"/>
      <c r="DR50" s="4"/>
      <c r="DV50" s="4"/>
    </row>
    <row r="51" spans="1:126">
      <c r="A51" s="2" t="s">
        <v>81</v>
      </c>
      <c r="J51" s="4"/>
      <c r="N51" s="4"/>
      <c r="R51" s="4"/>
      <c r="V51" s="4"/>
      <c r="Z51" s="4"/>
      <c r="AD51" s="4"/>
      <c r="AH51" s="4"/>
      <c r="AL51" s="4"/>
      <c r="AP51" s="4"/>
      <c r="AT51" s="4"/>
      <c r="AX51" s="4"/>
      <c r="BB51" s="4"/>
      <c r="BF51" s="4"/>
      <c r="BJ51" s="4"/>
      <c r="BN51" s="4"/>
      <c r="BR51" s="4"/>
      <c r="BV51" s="4"/>
      <c r="BZ51" s="4"/>
      <c r="CD51" s="4"/>
      <c r="CH51" s="4"/>
      <c r="CL51" s="4"/>
      <c r="CP51" s="4"/>
      <c r="CT51" s="4"/>
      <c r="CX51" s="4"/>
      <c r="DB51" s="4"/>
      <c r="DF51" s="4"/>
      <c r="DJ51" s="4"/>
      <c r="DN51" s="4"/>
      <c r="DR51" s="4"/>
      <c r="DV51" s="4"/>
    </row>
    <row r="52" spans="1:126">
      <c r="A52" s="2" t="s">
        <v>28</v>
      </c>
      <c r="B52" s="19">
        <v>60</v>
      </c>
      <c r="J52" s="4"/>
      <c r="N52" s="4"/>
      <c r="R52" s="4"/>
      <c r="V52" s="4"/>
      <c r="Z52" s="4"/>
      <c r="AD52" s="4"/>
      <c r="AH52" s="4"/>
      <c r="AL52" s="4"/>
      <c r="AP52" s="4"/>
      <c r="AT52" s="4"/>
      <c r="AX52" s="4"/>
      <c r="BB52" s="4"/>
      <c r="BF52" s="4"/>
      <c r="BJ52" s="4"/>
      <c r="BN52" s="4"/>
      <c r="BR52" s="4"/>
      <c r="BV52" s="4"/>
      <c r="BZ52" s="4"/>
      <c r="CD52" s="4"/>
      <c r="CH52" s="4"/>
      <c r="CL52" s="4"/>
      <c r="CP52" s="4"/>
      <c r="CT52" s="4"/>
      <c r="CX52" s="4"/>
      <c r="DB52" s="4"/>
      <c r="DF52" s="4"/>
      <c r="DJ52" s="4"/>
      <c r="DN52" s="4"/>
      <c r="DR52" s="4"/>
      <c r="DV52" s="4"/>
    </row>
    <row r="53" spans="1:126">
      <c r="A53" s="2" t="s">
        <v>29</v>
      </c>
      <c r="B53" s="19">
        <v>7</v>
      </c>
      <c r="J53" s="4"/>
      <c r="N53" s="4"/>
      <c r="R53" s="4"/>
      <c r="V53" s="4"/>
      <c r="Z53" s="4"/>
      <c r="AD53" s="4"/>
      <c r="AH53" s="4"/>
      <c r="AL53" s="4"/>
      <c r="AP53" s="4"/>
      <c r="AT53" s="4"/>
      <c r="AX53" s="4"/>
      <c r="BB53" s="4"/>
      <c r="BF53" s="4"/>
      <c r="BJ53" s="4"/>
      <c r="BN53" s="4"/>
      <c r="BR53" s="4"/>
      <c r="BV53" s="4"/>
      <c r="BZ53" s="4"/>
      <c r="CD53" s="4"/>
      <c r="CH53" s="4"/>
      <c r="CL53" s="4"/>
      <c r="CP53" s="4"/>
      <c r="CT53" s="4"/>
      <c r="CX53" s="4"/>
      <c r="DB53" s="4"/>
      <c r="DF53" s="4"/>
      <c r="DJ53" s="4"/>
      <c r="DN53" s="4"/>
      <c r="DR53" s="4"/>
      <c r="DV53" s="4"/>
    </row>
    <row r="54" spans="1:126">
      <c r="A54" s="2" t="s">
        <v>30</v>
      </c>
      <c r="B54" s="19">
        <v>10</v>
      </c>
      <c r="J54" s="4"/>
      <c r="N54" s="4"/>
      <c r="R54" s="4"/>
      <c r="V54" s="4"/>
      <c r="Z54" s="4"/>
      <c r="AD54" s="4"/>
      <c r="AH54" s="4"/>
      <c r="AL54" s="4"/>
      <c r="AP54" s="4"/>
      <c r="AT54" s="4"/>
      <c r="AX54" s="4"/>
      <c r="BB54" s="4"/>
      <c r="BF54" s="4"/>
      <c r="BJ54" s="4"/>
      <c r="BN54" s="4"/>
      <c r="BR54" s="4"/>
      <c r="BV54" s="4"/>
      <c r="BZ54" s="4"/>
      <c r="CD54" s="4"/>
      <c r="CH54" s="4"/>
      <c r="CL54" s="4"/>
      <c r="CP54" s="4"/>
      <c r="CT54" s="4"/>
      <c r="CX54" s="4"/>
      <c r="DB54" s="4"/>
      <c r="DF54" s="4"/>
      <c r="DJ54" s="4"/>
      <c r="DN54" s="4"/>
      <c r="DR54" s="4"/>
      <c r="DV54" s="4"/>
    </row>
    <row r="55" spans="1:126">
      <c r="A55" s="2" t="s">
        <v>31</v>
      </c>
      <c r="B55" s="19">
        <v>80</v>
      </c>
      <c r="J55" s="4"/>
      <c r="N55" s="4"/>
      <c r="R55" s="4"/>
      <c r="V55" s="4"/>
      <c r="Z55" s="4"/>
      <c r="AD55" s="4"/>
      <c r="AH55" s="4"/>
      <c r="AL55" s="4"/>
      <c r="AP55" s="4"/>
      <c r="AT55" s="4"/>
      <c r="AX55" s="4"/>
      <c r="BB55" s="4"/>
      <c r="BF55" s="4"/>
      <c r="BJ55" s="4"/>
      <c r="BN55" s="4"/>
      <c r="BR55" s="4"/>
      <c r="BV55" s="4"/>
      <c r="BZ55" s="4"/>
      <c r="CD55" s="4"/>
      <c r="CH55" s="4"/>
      <c r="CL55" s="4"/>
      <c r="CP55" s="4"/>
      <c r="CT55" s="4"/>
      <c r="CX55" s="4"/>
      <c r="DB55" s="4"/>
      <c r="DF55" s="4"/>
      <c r="DJ55" s="4"/>
      <c r="DN55" s="4"/>
      <c r="DR55" s="4"/>
      <c r="DV55" s="4"/>
    </row>
    <row r="56" spans="1:126">
      <c r="A56" s="2" t="s">
        <v>32</v>
      </c>
      <c r="B56" s="19">
        <v>19</v>
      </c>
      <c r="J56" s="4"/>
      <c r="N56" s="4"/>
      <c r="R56" s="4"/>
      <c r="V56" s="4"/>
      <c r="Z56" s="4"/>
      <c r="AD56" s="4"/>
      <c r="AH56" s="4"/>
      <c r="AL56" s="4"/>
      <c r="AP56" s="4"/>
      <c r="AT56" s="4"/>
      <c r="AX56" s="4"/>
      <c r="BB56" s="4"/>
      <c r="BF56" s="4"/>
      <c r="BJ56" s="4"/>
      <c r="BN56" s="4"/>
      <c r="BR56" s="4"/>
      <c r="BV56" s="4"/>
      <c r="BZ56" s="4"/>
      <c r="CD56" s="4"/>
      <c r="CH56" s="4"/>
      <c r="CL56" s="4"/>
      <c r="CP56" s="4"/>
      <c r="CT56" s="4"/>
      <c r="CX56" s="4"/>
      <c r="DB56" s="4"/>
      <c r="DF56" s="4"/>
      <c r="DJ56" s="4"/>
      <c r="DN56" s="4"/>
      <c r="DR56" s="4"/>
      <c r="DV56" s="4"/>
    </row>
    <row r="57" spans="1:126">
      <c r="A57" s="2" t="s">
        <v>82</v>
      </c>
      <c r="J57" s="4"/>
      <c r="N57" s="4"/>
      <c r="R57" s="4"/>
      <c r="V57" s="4"/>
      <c r="Z57" s="4"/>
      <c r="AD57" s="4"/>
      <c r="AH57" s="4"/>
      <c r="AL57" s="4"/>
      <c r="AP57" s="4"/>
      <c r="AT57" s="4"/>
      <c r="AX57" s="4"/>
      <c r="BB57" s="4"/>
      <c r="BF57" s="4"/>
      <c r="BJ57" s="4"/>
      <c r="BN57" s="4"/>
      <c r="BR57" s="4"/>
      <c r="BV57" s="4"/>
      <c r="BZ57" s="4"/>
      <c r="CD57" s="4"/>
      <c r="CH57" s="4"/>
      <c r="CL57" s="4"/>
      <c r="CP57" s="4"/>
      <c r="CT57" s="4"/>
      <c r="CX57" s="4"/>
      <c r="DB57" s="4"/>
      <c r="DF57" s="4"/>
      <c r="DJ57" s="4"/>
      <c r="DN57" s="4"/>
      <c r="DR57" s="4"/>
      <c r="DV57" s="4"/>
    </row>
    <row r="58" spans="1:126">
      <c r="A58" s="2" t="s">
        <v>34</v>
      </c>
      <c r="B58" s="19">
        <v>16</v>
      </c>
      <c r="J58" s="4"/>
      <c r="N58" s="4"/>
      <c r="R58" s="4"/>
      <c r="V58" s="4"/>
      <c r="Z58" s="4"/>
      <c r="AD58" s="4"/>
      <c r="AH58" s="4"/>
      <c r="AL58" s="4"/>
      <c r="AP58" s="4"/>
      <c r="AT58" s="4"/>
      <c r="AX58" s="4"/>
      <c r="BB58" s="4"/>
      <c r="BF58" s="4"/>
      <c r="BJ58" s="4"/>
      <c r="BN58" s="4"/>
      <c r="BR58" s="4"/>
      <c r="BV58" s="4"/>
      <c r="BZ58" s="4"/>
      <c r="CD58" s="4"/>
      <c r="CH58" s="4"/>
      <c r="CL58" s="4"/>
      <c r="CP58" s="4"/>
      <c r="CT58" s="4"/>
      <c r="CX58" s="4"/>
      <c r="DB58" s="4"/>
      <c r="DF58" s="4"/>
      <c r="DJ58" s="4"/>
      <c r="DN58" s="4"/>
      <c r="DR58" s="4"/>
      <c r="DV58" s="4"/>
    </row>
    <row r="59" spans="1:126">
      <c r="A59" s="2" t="s">
        <v>35</v>
      </c>
      <c r="B59" s="19">
        <v>7</v>
      </c>
      <c r="J59" s="4"/>
      <c r="N59" s="4"/>
      <c r="R59" s="4"/>
      <c r="V59" s="4"/>
      <c r="Z59" s="4"/>
      <c r="AD59" s="4"/>
      <c r="AH59" s="4"/>
      <c r="AL59" s="4"/>
      <c r="AP59" s="4"/>
      <c r="AT59" s="4"/>
      <c r="AX59" s="4"/>
      <c r="BB59" s="4"/>
      <c r="BF59" s="4"/>
      <c r="BJ59" s="4"/>
      <c r="BN59" s="4"/>
      <c r="BR59" s="4"/>
      <c r="BV59" s="4"/>
      <c r="BZ59" s="4"/>
      <c r="CD59" s="4"/>
      <c r="CH59" s="4"/>
      <c r="CL59" s="4"/>
      <c r="CP59" s="4"/>
      <c r="CT59" s="4"/>
      <c r="CX59" s="4"/>
      <c r="DB59" s="4"/>
      <c r="DF59" s="4"/>
      <c r="DJ59" s="4"/>
      <c r="DN59" s="4"/>
      <c r="DR59" s="4"/>
      <c r="DV59" s="4"/>
    </row>
    <row r="60" spans="1:126">
      <c r="A60" s="2" t="s">
        <v>36</v>
      </c>
      <c r="B60" s="19">
        <v>23</v>
      </c>
      <c r="J60" s="4"/>
      <c r="N60" s="4"/>
      <c r="R60" s="4"/>
      <c r="V60" s="4"/>
      <c r="Z60" s="4"/>
      <c r="AD60" s="4"/>
      <c r="AH60" s="4"/>
      <c r="AL60" s="4"/>
      <c r="AP60" s="4"/>
      <c r="AT60" s="4"/>
      <c r="AX60" s="4"/>
      <c r="BB60" s="4"/>
      <c r="BF60" s="4"/>
      <c r="BJ60" s="4"/>
      <c r="BN60" s="4"/>
      <c r="BR60" s="4"/>
      <c r="BV60" s="4"/>
      <c r="BZ60" s="4"/>
      <c r="CD60" s="4"/>
      <c r="CH60" s="4"/>
      <c r="CL60" s="4"/>
      <c r="CP60" s="4"/>
      <c r="CT60" s="4"/>
      <c r="CX60" s="4"/>
      <c r="DB60" s="4"/>
      <c r="DF60" s="4"/>
      <c r="DJ60" s="4"/>
      <c r="DN60" s="4"/>
      <c r="DR60" s="4"/>
      <c r="DV60" s="4"/>
    </row>
    <row r="61" spans="1:126">
      <c r="A61" s="2" t="s">
        <v>33</v>
      </c>
      <c r="J61" s="4"/>
      <c r="N61" s="4"/>
      <c r="R61" s="4"/>
      <c r="V61" s="4"/>
      <c r="Z61" s="4"/>
      <c r="AD61" s="4"/>
      <c r="AH61" s="4"/>
      <c r="AL61" s="4"/>
      <c r="AP61" s="4"/>
      <c r="AT61" s="4"/>
      <c r="AX61" s="4"/>
      <c r="BB61" s="4"/>
      <c r="BF61" s="4"/>
      <c r="BJ61" s="4"/>
      <c r="BN61" s="4"/>
      <c r="BR61" s="4"/>
      <c r="BV61" s="4"/>
      <c r="BZ61" s="4"/>
      <c r="CD61" s="4"/>
      <c r="CH61" s="4"/>
      <c r="CL61" s="4"/>
      <c r="CP61" s="4"/>
      <c r="CT61" s="4"/>
      <c r="CX61" s="4"/>
      <c r="DB61" s="4"/>
      <c r="DF61" s="4"/>
      <c r="DJ61" s="4"/>
      <c r="DN61" s="4"/>
      <c r="DR61" s="4"/>
      <c r="DV61" s="4"/>
    </row>
    <row r="62" spans="1:126">
      <c r="A62" s="2" t="s">
        <v>91</v>
      </c>
      <c r="J62" s="4"/>
      <c r="N62" s="4"/>
      <c r="R62" s="4"/>
      <c r="V62" s="4"/>
      <c r="Z62" s="4"/>
      <c r="AD62" s="4"/>
      <c r="AH62" s="4"/>
      <c r="AL62" s="4"/>
      <c r="AP62" s="4"/>
      <c r="AT62" s="4"/>
      <c r="AX62" s="4"/>
      <c r="BB62" s="4"/>
      <c r="BF62" s="4"/>
      <c r="BJ62" s="4"/>
      <c r="BN62" s="4"/>
      <c r="BR62" s="4"/>
      <c r="BV62" s="4"/>
      <c r="BZ62" s="4"/>
      <c r="CD62" s="4"/>
      <c r="CH62" s="4"/>
      <c r="CL62" s="4"/>
      <c r="CP62" s="4"/>
      <c r="CT62" s="4"/>
      <c r="CX62" s="4"/>
      <c r="DB62" s="4"/>
      <c r="DF62" s="4"/>
      <c r="DJ62" s="4"/>
      <c r="DN62" s="4"/>
      <c r="DR62" s="4"/>
      <c r="DV62" s="4"/>
    </row>
    <row r="63" spans="1:126">
      <c r="A63" s="2" t="s">
        <v>37</v>
      </c>
      <c r="B63" s="19">
        <v>14</v>
      </c>
      <c r="J63" s="4"/>
      <c r="N63" s="4"/>
      <c r="R63" s="4"/>
      <c r="V63" s="4"/>
      <c r="Z63" s="4"/>
      <c r="AD63" s="4"/>
      <c r="AH63" s="4"/>
      <c r="AL63" s="4"/>
      <c r="AP63" s="4"/>
      <c r="AT63" s="4"/>
      <c r="AX63" s="4"/>
      <c r="BB63" s="4"/>
      <c r="BF63" s="4"/>
      <c r="BJ63" s="4"/>
      <c r="BN63" s="4"/>
      <c r="BR63" s="4"/>
      <c r="BV63" s="4"/>
      <c r="BZ63" s="4"/>
      <c r="CD63" s="4"/>
      <c r="CH63" s="4"/>
      <c r="CL63" s="4"/>
      <c r="CP63" s="4"/>
      <c r="CT63" s="4"/>
      <c r="CX63" s="4"/>
      <c r="DB63" s="4"/>
      <c r="DF63" s="4"/>
      <c r="DJ63" s="4"/>
      <c r="DN63" s="4"/>
      <c r="DR63" s="4"/>
      <c r="DV63" s="4"/>
    </row>
    <row r="64" spans="1:126">
      <c r="A64" s="2" t="s">
        <v>97</v>
      </c>
      <c r="J64" s="4"/>
      <c r="N64" s="4"/>
      <c r="R64" s="4"/>
      <c r="V64" s="4"/>
      <c r="Z64" s="4"/>
      <c r="AD64" s="4"/>
      <c r="AH64" s="4"/>
      <c r="AL64" s="4"/>
      <c r="AP64" s="4"/>
      <c r="AT64" s="4"/>
      <c r="AX64" s="4"/>
      <c r="BB64" s="4"/>
      <c r="BF64" s="4"/>
      <c r="BJ64" s="4"/>
      <c r="BN64" s="4"/>
      <c r="BR64" s="4"/>
      <c r="BV64" s="4"/>
      <c r="BZ64" s="4"/>
      <c r="CD64" s="4"/>
      <c r="CH64" s="4"/>
      <c r="CL64" s="4"/>
      <c r="CP64" s="4"/>
      <c r="CT64" s="4"/>
      <c r="CX64" s="4"/>
      <c r="DB64" s="4"/>
      <c r="DF64" s="4"/>
      <c r="DJ64" s="4"/>
      <c r="DN64" s="4"/>
      <c r="DR64" s="4"/>
      <c r="DV64" s="4"/>
    </row>
    <row r="65" spans="1:126">
      <c r="A65" s="2" t="s">
        <v>38</v>
      </c>
      <c r="B65" s="19">
        <v>10</v>
      </c>
      <c r="J65" s="4"/>
      <c r="N65" s="4"/>
      <c r="R65" s="4"/>
      <c r="V65" s="4"/>
      <c r="Z65" s="4"/>
      <c r="AD65" s="4"/>
      <c r="AH65" s="4"/>
      <c r="AL65" s="4"/>
      <c r="AP65" s="4"/>
      <c r="AT65" s="4"/>
      <c r="AX65" s="4"/>
      <c r="BB65" s="4"/>
      <c r="BF65" s="4"/>
      <c r="BJ65" s="4"/>
      <c r="BN65" s="4"/>
      <c r="BR65" s="4"/>
      <c r="BV65" s="4"/>
      <c r="BZ65" s="4"/>
      <c r="CD65" s="4"/>
      <c r="CH65" s="4"/>
      <c r="CL65" s="4"/>
      <c r="CP65" s="4"/>
      <c r="CT65" s="4"/>
      <c r="CX65" s="4"/>
      <c r="DB65" s="4"/>
      <c r="DF65" s="4"/>
      <c r="DJ65" s="4"/>
      <c r="DN65" s="4"/>
      <c r="DR65" s="4"/>
      <c r="DV65" s="4"/>
    </row>
    <row r="66" spans="1:126">
      <c r="A66" s="2" t="s">
        <v>39</v>
      </c>
      <c r="J66" s="4"/>
      <c r="N66" s="4"/>
      <c r="R66" s="4"/>
      <c r="V66" s="4"/>
      <c r="Z66" s="4"/>
      <c r="AD66" s="4"/>
      <c r="AH66" s="4"/>
      <c r="AL66" s="4"/>
      <c r="AP66" s="4"/>
      <c r="AT66" s="4"/>
      <c r="AX66" s="4"/>
      <c r="BB66" s="4"/>
      <c r="BF66" s="4"/>
      <c r="BJ66" s="4"/>
      <c r="BN66" s="4"/>
      <c r="BR66" s="4"/>
      <c r="BV66" s="4"/>
      <c r="BZ66" s="4"/>
      <c r="CD66" s="4"/>
      <c r="CH66" s="4"/>
      <c r="CL66" s="4"/>
      <c r="CP66" s="4"/>
      <c r="CT66" s="4"/>
      <c r="CX66" s="4"/>
      <c r="DB66" s="4"/>
      <c r="DF66" s="4"/>
      <c r="DJ66" s="4"/>
      <c r="DN66" s="4"/>
      <c r="DR66" s="4"/>
      <c r="DV66" s="4"/>
    </row>
    <row r="67" spans="1:126">
      <c r="A67" s="2" t="s">
        <v>40</v>
      </c>
      <c r="J67" s="4"/>
      <c r="N67" s="4"/>
      <c r="R67" s="4"/>
      <c r="V67" s="4"/>
      <c r="Z67" s="4"/>
      <c r="AD67" s="4"/>
      <c r="AH67" s="4"/>
      <c r="AL67" s="4"/>
      <c r="AP67" s="4"/>
      <c r="AT67" s="4"/>
      <c r="AX67" s="4"/>
      <c r="BB67" s="4"/>
      <c r="BF67" s="4"/>
      <c r="BJ67" s="4"/>
      <c r="BN67" s="4"/>
      <c r="BR67" s="4"/>
      <c r="BV67" s="4"/>
      <c r="BZ67" s="4"/>
      <c r="CD67" s="4"/>
      <c r="CH67" s="4"/>
      <c r="CL67" s="4"/>
      <c r="CP67" s="4"/>
      <c r="CT67" s="4"/>
      <c r="CX67" s="4"/>
      <c r="DB67" s="4"/>
      <c r="DF67" s="4"/>
      <c r="DJ67" s="4"/>
      <c r="DN67" s="4"/>
      <c r="DR67" s="4"/>
      <c r="DV67" s="4"/>
    </row>
    <row r="68" spans="1:126">
      <c r="A68" s="2" t="s">
        <v>83</v>
      </c>
      <c r="B68" s="19">
        <f>141-3</f>
        <v>138</v>
      </c>
      <c r="J68" s="4"/>
      <c r="N68" s="4"/>
      <c r="R68" s="4"/>
      <c r="V68" s="4"/>
      <c r="Z68" s="4"/>
      <c r="AD68" s="4"/>
      <c r="AH68" s="4"/>
      <c r="AL68" s="4"/>
      <c r="AP68" s="4"/>
      <c r="AT68" s="4"/>
      <c r="AX68" s="4"/>
      <c r="BB68" s="4"/>
      <c r="BF68" s="4"/>
      <c r="BJ68" s="4"/>
      <c r="BN68" s="4"/>
      <c r="BR68" s="4"/>
      <c r="BV68" s="4"/>
      <c r="BZ68" s="4"/>
      <c r="CD68" s="4"/>
      <c r="CH68" s="4"/>
      <c r="CL68" s="4"/>
      <c r="CP68" s="4"/>
      <c r="CT68" s="4"/>
      <c r="CX68" s="4"/>
      <c r="DB68" s="4"/>
      <c r="DF68" s="4"/>
      <c r="DJ68" s="4"/>
      <c r="DN68" s="4"/>
      <c r="DR68" s="4"/>
      <c r="DV68" s="4"/>
    </row>
    <row r="69" spans="1:126">
      <c r="A69" s="2" t="s">
        <v>84</v>
      </c>
      <c r="B69" s="19">
        <f>141-20-4</f>
        <v>117</v>
      </c>
      <c r="J69" s="4"/>
      <c r="N69" s="4"/>
      <c r="R69" s="4"/>
      <c r="V69" s="4"/>
      <c r="Z69" s="4"/>
      <c r="AD69" s="4"/>
      <c r="AH69" s="4"/>
      <c r="AL69" s="4"/>
      <c r="AP69" s="4"/>
      <c r="AT69" s="4"/>
      <c r="AX69" s="4"/>
      <c r="BB69" s="4"/>
      <c r="BF69" s="4"/>
      <c r="BJ69" s="4"/>
      <c r="BN69" s="4"/>
      <c r="BR69" s="4"/>
      <c r="BV69" s="4"/>
      <c r="BZ69" s="4"/>
      <c r="CD69" s="4"/>
      <c r="CH69" s="4"/>
      <c r="CL69" s="4"/>
      <c r="CP69" s="4"/>
      <c r="CT69" s="4"/>
      <c r="CX69" s="4"/>
      <c r="DB69" s="4"/>
      <c r="DF69" s="4"/>
      <c r="DJ69" s="4"/>
      <c r="DN69" s="4"/>
      <c r="DR69" s="4"/>
      <c r="DV69" s="4"/>
    </row>
    <row r="70" spans="1:126">
      <c r="A70" s="2" t="s">
        <v>61</v>
      </c>
      <c r="B70" s="19">
        <v>123</v>
      </c>
      <c r="J70" s="4"/>
      <c r="N70" s="4"/>
      <c r="R70" s="4"/>
      <c r="V70" s="4"/>
      <c r="Z70" s="4"/>
      <c r="AD70" s="4"/>
      <c r="AH70" s="4"/>
      <c r="AL70" s="4"/>
      <c r="AP70" s="4"/>
      <c r="AT70" s="4"/>
      <c r="AX70" s="4"/>
      <c r="BB70" s="4"/>
      <c r="BF70" s="4"/>
      <c r="BJ70" s="4"/>
      <c r="BN70" s="4"/>
      <c r="BR70" s="4"/>
      <c r="BV70" s="4"/>
      <c r="BZ70" s="4"/>
      <c r="CD70" s="4"/>
      <c r="CH70" s="4"/>
      <c r="CL70" s="4"/>
      <c r="CP70" s="4"/>
      <c r="CT70" s="4"/>
      <c r="CX70" s="4"/>
      <c r="DB70" s="4"/>
      <c r="DF70" s="4"/>
      <c r="DJ70" s="4"/>
      <c r="DN70" s="4"/>
      <c r="DR70" s="4"/>
      <c r="DV70" s="4"/>
    </row>
    <row r="71" spans="1:126">
      <c r="A71" s="2" t="s">
        <v>42</v>
      </c>
      <c r="B71" s="19">
        <f>39-2</f>
        <v>37</v>
      </c>
      <c r="J71" s="4"/>
      <c r="N71" s="4"/>
      <c r="R71" s="4"/>
      <c r="V71" s="4"/>
      <c r="Z71" s="4"/>
      <c r="AD71" s="4"/>
      <c r="AH71" s="4"/>
      <c r="AL71" s="4"/>
      <c r="AP71" s="4"/>
      <c r="AT71" s="4"/>
      <c r="AX71" s="4"/>
      <c r="BB71" s="4"/>
      <c r="BF71" s="4"/>
      <c r="BJ71" s="4"/>
      <c r="BN71" s="4"/>
      <c r="BR71" s="4"/>
      <c r="BV71" s="4"/>
      <c r="BZ71" s="4"/>
      <c r="CD71" s="4"/>
      <c r="CH71" s="4"/>
      <c r="CL71" s="4"/>
      <c r="CP71" s="4"/>
      <c r="CT71" s="4"/>
      <c r="CX71" s="4"/>
      <c r="DB71" s="4"/>
      <c r="DF71" s="4"/>
      <c r="DJ71" s="4"/>
      <c r="DN71" s="4"/>
      <c r="DR71" s="4"/>
      <c r="DV71" s="4"/>
    </row>
    <row r="72" spans="1:126">
      <c r="A72" s="2" t="s">
        <v>85</v>
      </c>
      <c r="B72" s="19">
        <v>147</v>
      </c>
      <c r="J72" s="4"/>
      <c r="N72" s="4"/>
      <c r="R72" s="4"/>
      <c r="V72" s="4"/>
      <c r="Z72" s="4"/>
      <c r="AD72" s="4"/>
      <c r="AH72" s="4"/>
      <c r="AL72" s="4"/>
      <c r="AP72" s="4"/>
      <c r="AT72" s="4"/>
      <c r="AX72" s="4"/>
      <c r="BB72" s="4"/>
      <c r="BF72" s="4"/>
      <c r="BJ72" s="4"/>
      <c r="BN72" s="4"/>
      <c r="BR72" s="4"/>
      <c r="BV72" s="4"/>
      <c r="BZ72" s="4"/>
      <c r="CD72" s="4"/>
      <c r="CH72" s="4"/>
      <c r="CL72" s="4"/>
      <c r="CP72" s="4"/>
      <c r="CT72" s="4"/>
      <c r="CX72" s="4"/>
      <c r="DB72" s="4"/>
      <c r="DF72" s="4"/>
      <c r="DJ72" s="4"/>
      <c r="DN72" s="4"/>
      <c r="DR72" s="4"/>
      <c r="DV72" s="4"/>
    </row>
    <row r="73" spans="1:126">
      <c r="A73" s="2" t="s">
        <v>107</v>
      </c>
      <c r="B73" s="19">
        <v>5</v>
      </c>
      <c r="J73" s="4"/>
      <c r="N73" s="4"/>
      <c r="R73" s="4"/>
      <c r="V73" s="4"/>
      <c r="Z73" s="4"/>
      <c r="AD73" s="4"/>
      <c r="AH73" s="4"/>
      <c r="AL73" s="4"/>
      <c r="AP73" s="4"/>
      <c r="AT73" s="4"/>
      <c r="AX73" s="4"/>
      <c r="BB73" s="4"/>
      <c r="BF73" s="4"/>
      <c r="BJ73" s="4"/>
      <c r="BN73" s="4"/>
      <c r="BR73" s="4"/>
      <c r="BV73" s="4"/>
      <c r="BZ73" s="4"/>
      <c r="CD73" s="4"/>
      <c r="CH73" s="4"/>
      <c r="CL73" s="4"/>
      <c r="CP73" s="4"/>
      <c r="CT73" s="4"/>
      <c r="CX73" s="4"/>
      <c r="DB73" s="4"/>
      <c r="DF73" s="4"/>
      <c r="DJ73" s="4"/>
      <c r="DN73" s="4"/>
      <c r="DR73" s="4"/>
      <c r="DV73" s="4"/>
    </row>
    <row r="74" spans="1:126">
      <c r="A74" s="2" t="s">
        <v>90</v>
      </c>
      <c r="B74" s="19">
        <v>2</v>
      </c>
      <c r="J74" s="4"/>
      <c r="N74" s="4"/>
      <c r="R74" s="4"/>
      <c r="V74" s="4"/>
      <c r="Z74" s="4"/>
      <c r="AD74" s="4"/>
      <c r="AH74" s="4"/>
      <c r="AL74" s="4"/>
      <c r="AP74" s="4"/>
      <c r="AT74" s="4"/>
      <c r="AX74" s="4"/>
      <c r="BB74" s="4"/>
      <c r="BF74" s="4"/>
      <c r="BJ74" s="4"/>
      <c r="BN74" s="4"/>
      <c r="BR74" s="4"/>
      <c r="BV74" s="4"/>
      <c r="BZ74" s="4"/>
      <c r="CD74" s="4"/>
      <c r="CH74" s="4"/>
      <c r="CL74" s="4"/>
      <c r="CP74" s="4"/>
      <c r="CT74" s="4"/>
      <c r="CX74" s="4"/>
      <c r="DB74" s="4"/>
      <c r="DF74" s="4"/>
      <c r="DJ74" s="4"/>
      <c r="DN74" s="4"/>
      <c r="DR74" s="4"/>
      <c r="DV74" s="4"/>
    </row>
    <row r="75" spans="1:126">
      <c r="A75" s="2" t="s">
        <v>43</v>
      </c>
      <c r="B75" s="19">
        <v>36</v>
      </c>
      <c r="J75" s="4"/>
      <c r="N75" s="4"/>
      <c r="R75" s="4"/>
      <c r="V75" s="4"/>
      <c r="Z75" s="4"/>
      <c r="AD75" s="4"/>
      <c r="AH75" s="4"/>
      <c r="AL75" s="4"/>
      <c r="AP75" s="4"/>
      <c r="AT75" s="4"/>
      <c r="AX75" s="4"/>
      <c r="BB75" s="4"/>
      <c r="BF75" s="4"/>
      <c r="BJ75" s="4"/>
      <c r="BN75" s="4"/>
      <c r="BR75" s="4"/>
      <c r="BV75" s="4"/>
      <c r="BZ75" s="4"/>
      <c r="CD75" s="4"/>
      <c r="CH75" s="4"/>
      <c r="CL75" s="4"/>
      <c r="CP75" s="4"/>
      <c r="CT75" s="4"/>
      <c r="CX75" s="4"/>
      <c r="DB75" s="4"/>
      <c r="DF75" s="4"/>
      <c r="DJ75" s="4"/>
      <c r="DN75" s="4"/>
      <c r="DR75" s="4"/>
      <c r="DV75" s="4"/>
    </row>
    <row r="76" spans="1:126">
      <c r="A76" s="2" t="s">
        <v>86</v>
      </c>
      <c r="B76" s="19">
        <f>194-3</f>
        <v>191</v>
      </c>
      <c r="J76" s="4"/>
      <c r="N76" s="4"/>
      <c r="R76" s="4"/>
      <c r="V76" s="4"/>
      <c r="Z76" s="4"/>
      <c r="AD76" s="4"/>
      <c r="AH76" s="4"/>
      <c r="AL76" s="4"/>
      <c r="AP76" s="4"/>
      <c r="AT76" s="4"/>
      <c r="AX76" s="4"/>
      <c r="BB76" s="4"/>
      <c r="BF76" s="4"/>
      <c r="BJ76" s="4"/>
      <c r="BN76" s="4"/>
      <c r="BR76" s="4"/>
      <c r="BV76" s="4"/>
      <c r="BZ76" s="4"/>
      <c r="CD76" s="4"/>
      <c r="CH76" s="4"/>
      <c r="CL76" s="4"/>
      <c r="CP76" s="4"/>
      <c r="CT76" s="4"/>
      <c r="CX76" s="4"/>
      <c r="DB76" s="4"/>
      <c r="DF76" s="4"/>
      <c r="DJ76" s="4"/>
      <c r="DN76" s="4"/>
      <c r="DR76" s="4"/>
      <c r="DV76" s="4"/>
    </row>
    <row r="77" spans="1:126">
      <c r="A77" s="2" t="s">
        <v>54</v>
      </c>
      <c r="B77" s="19">
        <v>44</v>
      </c>
      <c r="J77" s="4"/>
      <c r="N77" s="4"/>
      <c r="R77" s="4"/>
      <c r="V77" s="4"/>
      <c r="Z77" s="4"/>
      <c r="AD77" s="4"/>
      <c r="AH77" s="4"/>
      <c r="AL77" s="4"/>
      <c r="AP77" s="4"/>
      <c r="AT77" s="4"/>
      <c r="AX77" s="4"/>
      <c r="BB77" s="4"/>
      <c r="BF77" s="4"/>
      <c r="BJ77" s="4"/>
      <c r="BN77" s="4"/>
      <c r="BR77" s="4"/>
      <c r="BV77" s="4"/>
      <c r="BZ77" s="4"/>
      <c r="CD77" s="4"/>
      <c r="CH77" s="4"/>
      <c r="CL77" s="4"/>
      <c r="CP77" s="4"/>
      <c r="CT77" s="4"/>
      <c r="CX77" s="4"/>
      <c r="DB77" s="4"/>
      <c r="DF77" s="4"/>
      <c r="DJ77" s="4"/>
      <c r="DN77" s="4"/>
      <c r="DR77" s="4"/>
      <c r="DV77" s="4"/>
    </row>
    <row r="78" spans="1:126">
      <c r="A78" s="2" t="s">
        <v>44</v>
      </c>
      <c r="J78" s="4"/>
      <c r="N78" s="4"/>
      <c r="R78" s="4"/>
      <c r="V78" s="4"/>
      <c r="Z78" s="4"/>
      <c r="AD78" s="4"/>
      <c r="AH78" s="4"/>
      <c r="AL78" s="4"/>
      <c r="AP78" s="4"/>
      <c r="AT78" s="4"/>
      <c r="AX78" s="4"/>
      <c r="BB78" s="4"/>
      <c r="BF78" s="4"/>
      <c r="BJ78" s="4"/>
      <c r="BN78" s="4"/>
      <c r="BR78" s="4"/>
      <c r="BV78" s="4"/>
      <c r="BZ78" s="4"/>
      <c r="CD78" s="4"/>
      <c r="CH78" s="4"/>
      <c r="CL78" s="4"/>
      <c r="CP78" s="4"/>
      <c r="CT78" s="4"/>
      <c r="CX78" s="4"/>
      <c r="DB78" s="4"/>
      <c r="DF78" s="4"/>
      <c r="DJ78" s="4"/>
      <c r="DN78" s="4"/>
      <c r="DR78" s="4"/>
      <c r="DV78" s="4"/>
    </row>
    <row r="79" spans="1:126">
      <c r="A79" s="2" t="s">
        <v>87</v>
      </c>
      <c r="B79" s="19">
        <v>1</v>
      </c>
      <c r="J79" s="4"/>
      <c r="N79" s="4"/>
      <c r="R79" s="4"/>
      <c r="V79" s="4"/>
      <c r="Z79" s="4"/>
      <c r="AD79" s="4"/>
      <c r="AH79" s="4"/>
      <c r="AL79" s="4"/>
      <c r="AP79" s="4"/>
      <c r="AT79" s="4"/>
      <c r="AX79" s="4"/>
      <c r="BB79" s="4"/>
      <c r="BF79" s="4"/>
      <c r="BJ79" s="4"/>
      <c r="BN79" s="4"/>
      <c r="BR79" s="4"/>
      <c r="BV79" s="4"/>
      <c r="BZ79" s="4"/>
      <c r="CD79" s="4"/>
      <c r="CH79" s="4"/>
      <c r="CL79" s="4"/>
      <c r="CP79" s="4"/>
      <c r="CT79" s="4"/>
      <c r="CX79" s="4"/>
      <c r="DB79" s="4"/>
      <c r="DF79" s="4"/>
      <c r="DJ79" s="4"/>
      <c r="DN79" s="4"/>
      <c r="DR79" s="4"/>
      <c r="DV79" s="4"/>
    </row>
    <row r="80" spans="1:126">
      <c r="A80" s="2" t="s">
        <v>53</v>
      </c>
      <c r="B80" s="19">
        <v>189</v>
      </c>
      <c r="J80" s="4"/>
      <c r="N80" s="4"/>
      <c r="R80" s="4"/>
      <c r="V80" s="4"/>
      <c r="Z80" s="4"/>
      <c r="AD80" s="4"/>
      <c r="AH80" s="4"/>
      <c r="AL80" s="4"/>
      <c r="AP80" s="4"/>
      <c r="AT80" s="4"/>
      <c r="AX80" s="4"/>
      <c r="BB80" s="4"/>
      <c r="BF80" s="4"/>
      <c r="BJ80" s="4"/>
      <c r="BN80" s="4"/>
      <c r="BR80" s="4"/>
      <c r="BV80" s="4"/>
      <c r="BZ80" s="4"/>
      <c r="CD80" s="4"/>
      <c r="CH80" s="4"/>
      <c r="CL80" s="4"/>
      <c r="CP80" s="4"/>
      <c r="CT80" s="4"/>
      <c r="CX80" s="4"/>
      <c r="DB80" s="4"/>
      <c r="DF80" s="4"/>
      <c r="DJ80" s="4"/>
      <c r="DN80" s="4"/>
      <c r="DR80" s="4"/>
      <c r="DV80" s="4"/>
    </row>
    <row r="81" spans="1:130">
      <c r="A81" s="2" t="s">
        <v>45</v>
      </c>
      <c r="B81" s="19">
        <v>162</v>
      </c>
      <c r="J81" s="4"/>
      <c r="N81" s="4"/>
      <c r="R81" s="4"/>
      <c r="V81" s="4"/>
      <c r="Z81" s="4"/>
      <c r="AD81" s="4"/>
      <c r="AH81" s="4"/>
      <c r="AL81" s="4"/>
      <c r="AP81" s="4"/>
      <c r="AT81" s="4"/>
      <c r="AX81" s="4"/>
      <c r="BB81" s="4"/>
      <c r="BF81" s="4"/>
      <c r="BJ81" s="4"/>
      <c r="BN81" s="4"/>
      <c r="BR81" s="4"/>
      <c r="BV81" s="4"/>
      <c r="BZ81" s="4"/>
      <c r="CD81" s="4"/>
      <c r="CH81" s="4"/>
      <c r="CL81" s="4"/>
      <c r="CP81" s="4"/>
      <c r="CT81" s="4"/>
      <c r="CX81" s="4"/>
      <c r="DB81" s="4"/>
      <c r="DF81" s="4"/>
      <c r="DJ81" s="4"/>
      <c r="DN81" s="4"/>
      <c r="DR81" s="4"/>
      <c r="DV81" s="4"/>
    </row>
    <row r="82" spans="1:130">
      <c r="A82" s="2" t="s">
        <v>52</v>
      </c>
      <c r="J82" s="4"/>
      <c r="N82" s="4"/>
      <c r="R82" s="4"/>
      <c r="V82" s="4"/>
      <c r="Z82" s="4"/>
      <c r="AD82" s="4"/>
      <c r="AH82" s="4"/>
      <c r="AL82" s="4"/>
      <c r="AP82" s="4"/>
      <c r="AT82" s="4"/>
      <c r="AX82" s="4"/>
      <c r="BB82" s="4"/>
      <c r="BF82" s="4"/>
      <c r="BJ82" s="4"/>
      <c r="BN82" s="4"/>
      <c r="BR82" s="4"/>
      <c r="BV82" s="4"/>
      <c r="BZ82" s="4"/>
      <c r="CD82" s="4"/>
      <c r="CH82" s="4"/>
      <c r="CL82" s="4"/>
      <c r="CP82" s="4"/>
      <c r="CT82" s="4"/>
      <c r="CX82" s="4"/>
      <c r="DB82" s="4"/>
      <c r="DF82" s="4"/>
      <c r="DJ82" s="4"/>
      <c r="DN82" s="4"/>
      <c r="DR82" s="4"/>
      <c r="DV82" s="4"/>
    </row>
    <row r="83" spans="1:130">
      <c r="A83" s="2" t="s">
        <v>47</v>
      </c>
      <c r="J83" s="4"/>
      <c r="N83" s="4"/>
      <c r="R83" s="4"/>
      <c r="V83" s="4"/>
      <c r="Z83" s="4"/>
      <c r="AD83" s="4"/>
      <c r="AH83" s="4"/>
      <c r="AL83" s="4"/>
      <c r="AP83" s="4"/>
      <c r="AT83" s="4"/>
      <c r="AX83" s="4"/>
      <c r="BB83" s="4"/>
      <c r="BF83" s="4"/>
      <c r="BJ83" s="4"/>
      <c r="BN83" s="4"/>
      <c r="BR83" s="4"/>
      <c r="BT83" s="1"/>
      <c r="BV83" s="4"/>
      <c r="BZ83" s="4"/>
      <c r="CD83" s="4"/>
      <c r="CH83" s="4"/>
      <c r="CL83" s="4"/>
      <c r="CP83" s="4"/>
      <c r="CT83" s="4"/>
      <c r="CX83" s="4"/>
      <c r="DB83" s="4"/>
      <c r="DF83" s="4"/>
      <c r="DJ83" s="4"/>
      <c r="DN83" s="4"/>
      <c r="DR83" s="4"/>
      <c r="DV83" s="4"/>
    </row>
    <row r="84" spans="1:130">
      <c r="A84" s="2" t="s">
        <v>46</v>
      </c>
      <c r="B84" s="19">
        <v>163</v>
      </c>
      <c r="J84" s="4"/>
      <c r="N84" s="4"/>
      <c r="R84" s="4"/>
      <c r="V84" s="4"/>
      <c r="Z84" s="4"/>
      <c r="AD84" s="4"/>
      <c r="AH84" s="4"/>
      <c r="AL84" s="4"/>
      <c r="AP84" s="4"/>
      <c r="AT84" s="4"/>
      <c r="AX84" s="4"/>
      <c r="BB84" s="4"/>
      <c r="BF84" s="4"/>
      <c r="BJ84" s="4"/>
      <c r="BN84" s="4"/>
      <c r="BR84" s="4"/>
      <c r="BT84" s="1"/>
      <c r="BV84" s="4"/>
      <c r="BZ84" s="4"/>
      <c r="CD84" s="4"/>
      <c r="CH84" s="4"/>
      <c r="CL84" s="4"/>
      <c r="CP84" s="4"/>
      <c r="CT84" s="4"/>
      <c r="CX84" s="4"/>
      <c r="DB84" s="4"/>
      <c r="DF84" s="4"/>
      <c r="DJ84" s="4"/>
      <c r="DN84" s="4"/>
      <c r="DR84" s="4"/>
      <c r="DV84" s="4"/>
    </row>
    <row r="85" spans="1:130">
      <c r="A85" s="2" t="s">
        <v>48</v>
      </c>
      <c r="B85" s="19">
        <v>11</v>
      </c>
      <c r="J85" s="4"/>
      <c r="N85" s="4"/>
      <c r="R85" s="4"/>
      <c r="V85" s="4"/>
      <c r="Z85" s="4"/>
      <c r="AD85" s="4"/>
      <c r="AH85" s="4"/>
      <c r="AL85" s="4"/>
      <c r="AP85" s="4"/>
      <c r="AT85" s="4"/>
      <c r="AX85" s="4"/>
      <c r="BB85" s="4"/>
      <c r="BF85" s="4"/>
      <c r="BJ85" s="4"/>
      <c r="BN85" s="4"/>
      <c r="BR85" s="4"/>
      <c r="BV85" s="4"/>
      <c r="BZ85" s="4"/>
      <c r="CD85" s="4"/>
      <c r="CH85" s="4"/>
      <c r="CL85" s="4"/>
      <c r="CP85" s="4"/>
      <c r="CT85" s="4"/>
      <c r="CX85" s="4"/>
      <c r="DB85" s="4"/>
      <c r="DF85" s="4"/>
      <c r="DJ85" s="4"/>
      <c r="DN85" s="4"/>
      <c r="DR85" s="4"/>
      <c r="DV85" s="4"/>
    </row>
    <row r="86" spans="1:130">
      <c r="A86" s="2" t="s">
        <v>49</v>
      </c>
      <c r="B86" s="19">
        <v>8</v>
      </c>
      <c r="J86" s="4"/>
      <c r="N86" s="4"/>
      <c r="R86" s="4"/>
      <c r="V86" s="4"/>
      <c r="Z86" s="4"/>
      <c r="AD86" s="4"/>
      <c r="AH86" s="4"/>
      <c r="AL86" s="4"/>
      <c r="AP86" s="4"/>
      <c r="AT86" s="4"/>
      <c r="AX86" s="4"/>
      <c r="BB86" s="4"/>
      <c r="BF86" s="4"/>
      <c r="BJ86" s="4"/>
      <c r="BN86" s="4"/>
      <c r="BR86" s="4"/>
      <c r="BV86" s="4"/>
      <c r="BZ86" s="4"/>
      <c r="CD86" s="4"/>
      <c r="CH86" s="4"/>
      <c r="CL86" s="4"/>
      <c r="CP86" s="4"/>
      <c r="CT86" s="4"/>
      <c r="CX86" s="4"/>
      <c r="DB86" s="4"/>
      <c r="DF86" s="4"/>
      <c r="DJ86" s="4"/>
      <c r="DN86" s="4"/>
      <c r="DR86" s="4"/>
      <c r="DV86" s="4"/>
    </row>
    <row r="87" spans="1:130">
      <c r="A87" s="2" t="s">
        <v>50</v>
      </c>
      <c r="B87" s="19">
        <v>114</v>
      </c>
      <c r="J87" s="4"/>
      <c r="N87" s="4"/>
      <c r="R87" s="4"/>
      <c r="V87" s="4"/>
      <c r="Z87" s="4"/>
      <c r="AD87" s="4"/>
      <c r="AH87" s="4"/>
      <c r="AL87" s="4"/>
      <c r="AP87" s="4"/>
      <c r="AT87" s="4"/>
      <c r="AX87" s="4"/>
      <c r="BB87" s="4"/>
      <c r="BF87" s="4"/>
      <c r="BJ87" s="4"/>
      <c r="BN87" s="4"/>
      <c r="BR87" s="4"/>
      <c r="BV87" s="4"/>
      <c r="BZ87" s="4"/>
      <c r="CD87" s="4"/>
      <c r="CH87" s="4"/>
      <c r="CL87" s="4"/>
      <c r="CP87" s="4"/>
      <c r="CT87" s="4"/>
      <c r="CX87" s="4"/>
      <c r="DB87" s="4"/>
      <c r="DF87" s="4"/>
      <c r="DJ87" s="4"/>
      <c r="DN87" s="4"/>
      <c r="DR87" s="4"/>
      <c r="DV87" s="4"/>
    </row>
    <row r="88" spans="1:130">
      <c r="A88" s="2" t="s">
        <v>51</v>
      </c>
      <c r="B88" s="19">
        <v>63</v>
      </c>
      <c r="J88" s="4"/>
      <c r="N88" s="4"/>
      <c r="R88" s="4"/>
      <c r="V88" s="4"/>
      <c r="Z88" s="4"/>
      <c r="AD88" s="4"/>
      <c r="AH88" s="4"/>
      <c r="AL88" s="4"/>
      <c r="AP88" s="4"/>
      <c r="AT88" s="4"/>
      <c r="AX88" s="4"/>
      <c r="BB88" s="4"/>
      <c r="BF88" s="4"/>
      <c r="BJ88" s="4"/>
      <c r="BN88" s="4"/>
      <c r="BR88" s="4"/>
      <c r="BV88" s="4"/>
      <c r="BZ88" s="4"/>
      <c r="CD88" s="4"/>
      <c r="CH88" s="4"/>
      <c r="CL88" s="4"/>
      <c r="CP88" s="4"/>
      <c r="CT88" s="4"/>
      <c r="CX88" s="4"/>
      <c r="DB88" s="4"/>
      <c r="DF88" s="4"/>
      <c r="DJ88" s="4"/>
      <c r="DN88" s="4"/>
      <c r="DR88" s="4"/>
      <c r="DV88" s="4"/>
    </row>
    <row r="89" spans="1:130">
      <c r="A89" s="3" t="s">
        <v>56</v>
      </c>
      <c r="B89" s="19">
        <f>59+154-1</f>
        <v>212</v>
      </c>
      <c r="J89" s="4"/>
      <c r="N89" s="4"/>
      <c r="R89" s="4"/>
      <c r="V89" s="4"/>
      <c r="Z89" s="4"/>
      <c r="AC89" s="1"/>
      <c r="AD89" s="4"/>
      <c r="AH89" s="4"/>
      <c r="AK89" s="1"/>
      <c r="AL89" s="4"/>
      <c r="AP89" s="4"/>
      <c r="AT89" s="4"/>
      <c r="AX89" s="4"/>
      <c r="BB89" s="4"/>
      <c r="BF89" s="4"/>
      <c r="BJ89" s="4"/>
      <c r="BN89" s="4"/>
      <c r="BR89" s="4"/>
      <c r="BV89" s="4"/>
      <c r="BZ89" s="4"/>
      <c r="CD89" s="4"/>
      <c r="CH89" s="4"/>
      <c r="CL89" s="4"/>
      <c r="CP89" s="4"/>
      <c r="CT89" s="4"/>
      <c r="CX89" s="4"/>
      <c r="DB89" s="4"/>
      <c r="DF89" s="4"/>
      <c r="DJ89" s="4"/>
      <c r="DN89" s="4"/>
      <c r="DR89" s="4"/>
      <c r="DV89" s="4"/>
    </row>
    <row r="90" spans="1:130">
      <c r="A90" s="2" t="s">
        <v>88</v>
      </c>
      <c r="B90" s="19">
        <f>149-3</f>
        <v>146</v>
      </c>
      <c r="J90" s="4"/>
      <c r="N90" s="4"/>
      <c r="R90" s="4"/>
      <c r="V90" s="4"/>
      <c r="Z90" s="4"/>
      <c r="AD90" s="4"/>
      <c r="AH90" s="4"/>
      <c r="AL90" s="4"/>
      <c r="AP90" s="4"/>
      <c r="AT90" s="4"/>
      <c r="AX90" s="4"/>
      <c r="BB90" s="4"/>
      <c r="BF90" s="4"/>
      <c r="BJ90" s="4"/>
      <c r="BN90" s="4"/>
      <c r="BR90" s="4"/>
      <c r="BV90" s="4"/>
      <c r="BZ90" s="4"/>
      <c r="CD90" s="4"/>
      <c r="CH90" s="4"/>
      <c r="CL90" s="4"/>
      <c r="CP90" s="4"/>
      <c r="CT90" s="4"/>
      <c r="CX90" s="4"/>
      <c r="DB90" s="4"/>
      <c r="DF90" s="4"/>
      <c r="DJ90" s="4"/>
      <c r="DN90" s="4"/>
      <c r="DR90" s="4"/>
      <c r="DV90" s="4"/>
    </row>
    <row r="91" spans="1:130">
      <c r="A91" s="2" t="s">
        <v>113</v>
      </c>
      <c r="G91" s="4"/>
      <c r="H91" s="4"/>
      <c r="J91" s="4"/>
      <c r="K91" s="4"/>
      <c r="L91" s="4"/>
      <c r="M91" s="4"/>
      <c r="N91" s="4"/>
      <c r="O91" s="16"/>
      <c r="P91" s="4"/>
      <c r="Q91" s="4"/>
      <c r="R91" s="4"/>
      <c r="S91" s="4"/>
      <c r="T91" s="4"/>
      <c r="U91" s="4"/>
      <c r="V91" s="4"/>
      <c r="W91" s="17"/>
      <c r="X91" s="4"/>
      <c r="Y91" s="4"/>
      <c r="Z91" s="4"/>
      <c r="AA91" s="4"/>
      <c r="AB91" s="4"/>
      <c r="AC91" s="4"/>
      <c r="AD91" s="4"/>
      <c r="AE91" s="16"/>
      <c r="AF91" s="4"/>
      <c r="AG91" s="4"/>
      <c r="AH91" s="4"/>
      <c r="AI91" s="16"/>
      <c r="AJ91" s="4"/>
      <c r="AK91" s="4"/>
      <c r="AL91" s="4"/>
      <c r="AM91" s="16"/>
      <c r="AN91" s="4"/>
      <c r="AO91" s="4"/>
      <c r="AP91" s="4"/>
      <c r="AQ91" s="18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4"/>
      <c r="BD91" s="4"/>
      <c r="BE91" s="4"/>
      <c r="BF91" s="4"/>
      <c r="BG91" s="17"/>
      <c r="BH91" s="4"/>
      <c r="BI91" s="4"/>
      <c r="BJ91" s="4"/>
      <c r="BK91" s="4"/>
      <c r="BL91" s="4"/>
      <c r="BM91" s="4"/>
      <c r="BN91" s="4"/>
      <c r="BO91" s="16"/>
      <c r="BP91" s="4"/>
      <c r="BQ91" s="4"/>
      <c r="BR91" s="4"/>
      <c r="BS91" s="4"/>
      <c r="BT91" s="4"/>
      <c r="BU91" s="4"/>
      <c r="BV91" s="4"/>
      <c r="BW91" s="4"/>
      <c r="BX91" s="4"/>
      <c r="BY91" s="4"/>
      <c r="BZ91" s="4"/>
      <c r="CA91" s="17"/>
      <c r="CB91" s="4"/>
      <c r="CC91" s="4"/>
      <c r="CD91" s="4"/>
      <c r="CE91" s="4"/>
      <c r="CF91" s="4"/>
      <c r="CG91" s="4"/>
      <c r="CH91" s="4"/>
      <c r="CI91" s="4"/>
      <c r="CJ91" s="4"/>
      <c r="CK91" s="4"/>
      <c r="CL91" s="4"/>
      <c r="CM91" s="4"/>
      <c r="CN91" s="4"/>
      <c r="CO91" s="4"/>
      <c r="CP91" s="4"/>
      <c r="CQ91" s="16"/>
      <c r="CR91" s="4"/>
      <c r="CS91" s="4"/>
      <c r="CT91" s="4"/>
      <c r="CU91" s="4"/>
      <c r="CV91" s="4"/>
      <c r="CW91" s="4"/>
      <c r="CX91" s="4"/>
      <c r="CY91" s="4"/>
      <c r="CZ91" s="4"/>
      <c r="DA91" s="4"/>
      <c r="DB91" s="4"/>
      <c r="DC91" s="4"/>
      <c r="DD91" s="4"/>
      <c r="DE91" s="4"/>
      <c r="DF91" s="4"/>
      <c r="DG91" s="4"/>
      <c r="DH91" s="4"/>
      <c r="DI91" s="4"/>
      <c r="DJ91" s="4"/>
      <c r="DK91" s="4"/>
      <c r="DL91" s="4"/>
      <c r="DM91" s="4"/>
      <c r="DN91" s="4"/>
      <c r="DO91" s="16"/>
      <c r="DP91" s="4"/>
      <c r="DQ91" s="4"/>
      <c r="DR91" s="4"/>
      <c r="DS91" s="4"/>
      <c r="DT91" s="4"/>
      <c r="DU91" s="4"/>
      <c r="DV91" s="4"/>
      <c r="DW91" s="17"/>
      <c r="DX91" s="4"/>
      <c r="DY91" s="4"/>
      <c r="DZ91" s="4"/>
    </row>
    <row r="92" spans="1:130">
      <c r="A92" s="2" t="s">
        <v>112</v>
      </c>
    </row>
    <row r="93" spans="1:130">
      <c r="A93" s="2" t="s">
        <v>114</v>
      </c>
    </row>
    <row r="94" spans="1:130">
      <c r="A94" s="2" t="s">
        <v>115</v>
      </c>
    </row>
    <row r="95" spans="1:130">
      <c r="A95" s="2" t="s">
        <v>116</v>
      </c>
    </row>
    <row r="96" spans="1:130">
      <c r="A96" s="2" t="s">
        <v>117</v>
      </c>
    </row>
    <row r="97" spans="1:1">
      <c r="A97" s="2" t="s">
        <v>118</v>
      </c>
    </row>
    <row r="98" spans="1:1">
      <c r="A98" s="2" t="s">
        <v>119</v>
      </c>
    </row>
    <row r="99" spans="1:1">
      <c r="A99" s="2" t="s">
        <v>120</v>
      </c>
    </row>
    <row r="100" spans="1:1">
      <c r="A100" s="2" t="s">
        <v>121</v>
      </c>
    </row>
    <row r="101" spans="1:1">
      <c r="A101" s="2" t="s">
        <v>122</v>
      </c>
    </row>
    <row r="102" spans="1:1">
      <c r="A102" s="2" t="s">
        <v>123</v>
      </c>
    </row>
    <row r="103" spans="1:1">
      <c r="A103" s="2" t="s">
        <v>124</v>
      </c>
    </row>
    <row r="104" spans="1:1">
      <c r="A104" s="2" t="s">
        <v>125</v>
      </c>
    </row>
    <row r="105" spans="1:1">
      <c r="A105" s="2" t="s">
        <v>126</v>
      </c>
    </row>
    <row r="106" spans="1:1">
      <c r="A106" s="2" t="s">
        <v>127</v>
      </c>
    </row>
    <row r="107" spans="1:1">
      <c r="A107" s="2" t="s">
        <v>128</v>
      </c>
    </row>
    <row r="108" spans="1:1">
      <c r="A108" s="2" t="s">
        <v>129</v>
      </c>
    </row>
    <row r="109" spans="1:1">
      <c r="A109" s="2" t="s">
        <v>59</v>
      </c>
    </row>
    <row r="110" spans="1:1">
      <c r="A110" s="2" t="s">
        <v>57</v>
      </c>
    </row>
    <row r="111" spans="1:1">
      <c r="A111" s="2" t="s">
        <v>130</v>
      </c>
    </row>
    <row r="112" spans="1:1">
      <c r="A112" s="2" t="s">
        <v>131</v>
      </c>
    </row>
    <row r="113" spans="1:1">
      <c r="A113" s="2" t="s">
        <v>132</v>
      </c>
    </row>
    <row r="114" spans="1:1">
      <c r="A114" s="2" t="s">
        <v>133</v>
      </c>
    </row>
    <row r="115" spans="1:1">
      <c r="A115" s="2" t="s">
        <v>134</v>
      </c>
    </row>
    <row r="116" spans="1:1">
      <c r="A116" s="2" t="s">
        <v>135</v>
      </c>
    </row>
    <row r="117" spans="1:1">
      <c r="A117" s="2" t="s">
        <v>136</v>
      </c>
    </row>
  </sheetData>
  <mergeCells count="37">
    <mergeCell ref="AV1:AY1"/>
    <mergeCell ref="D1:G1"/>
    <mergeCell ref="H1:K1"/>
    <mergeCell ref="L1:O1"/>
    <mergeCell ref="P1:S1"/>
    <mergeCell ref="T1:W1"/>
    <mergeCell ref="X1:AA1"/>
    <mergeCell ref="AB1:AE1"/>
    <mergeCell ref="AF1:AI1"/>
    <mergeCell ref="AJ1:AM1"/>
    <mergeCell ref="AN1:AQ1"/>
    <mergeCell ref="AR1:AU1"/>
    <mergeCell ref="CR1:CU1"/>
    <mergeCell ref="AZ1:BC1"/>
    <mergeCell ref="BD1:BG1"/>
    <mergeCell ref="BH1:BK1"/>
    <mergeCell ref="BL1:BO1"/>
    <mergeCell ref="BP1:BS1"/>
    <mergeCell ref="BT1:BW1"/>
    <mergeCell ref="BX1:CA1"/>
    <mergeCell ref="CB1:CE1"/>
    <mergeCell ref="CF1:CI1"/>
    <mergeCell ref="CJ1:CM1"/>
    <mergeCell ref="CN1:CQ1"/>
    <mergeCell ref="EE1:EE2"/>
    <mergeCell ref="DX2:DY2"/>
    <mergeCell ref="CV1:CY1"/>
    <mergeCell ref="CZ1:DC1"/>
    <mergeCell ref="DD1:DG1"/>
    <mergeCell ref="DH1:DK1"/>
    <mergeCell ref="DL1:DO1"/>
    <mergeCell ref="DP1:DS1"/>
    <mergeCell ref="DT1:DW1"/>
    <mergeCell ref="EA1:EA2"/>
    <mergeCell ref="EB1:EB2"/>
    <mergeCell ref="EC1:EC2"/>
    <mergeCell ref="ED1:E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26</vt:i4>
      </vt:variant>
    </vt:vector>
  </HeadingPairs>
  <TitlesOfParts>
    <vt:vector size="26" baseType="lpstr">
      <vt:lpstr>ANTSAHABE</vt:lpstr>
      <vt:lpstr>ANALAMAHITSY</vt:lpstr>
      <vt:lpstr>Akoor Digue</vt:lpstr>
      <vt:lpstr>ANTANINANDRO</vt:lpstr>
      <vt:lpstr>ANOSY</vt:lpstr>
      <vt:lpstr>REX</vt:lpstr>
      <vt:lpstr>TSARALALANA</vt:lpstr>
      <vt:lpstr>ANKAZOMANGA</vt:lpstr>
      <vt:lpstr>MORAMANGA</vt:lpstr>
      <vt:lpstr>Maman Shinning Tamatave</vt:lpstr>
      <vt:lpstr>Meteo Ampasapito</vt:lpstr>
      <vt:lpstr>IVATO</vt:lpstr>
      <vt:lpstr>SOANIERANA</vt:lpstr>
      <vt:lpstr>TALATAMATY</vt:lpstr>
      <vt:lpstr>MAHAMASINA</vt:lpstr>
      <vt:lpstr>ANKADINDRATOMBO</vt:lpstr>
      <vt:lpstr>AMPANDRANA</vt:lpstr>
      <vt:lpstr>ANDRANOMENA</vt:lpstr>
      <vt:lpstr>ANTSIRABE</vt:lpstr>
      <vt:lpstr>ANALAKELY</vt:lpstr>
      <vt:lpstr>Mr Riana Commercial</vt:lpstr>
      <vt:lpstr>Mr Ismael Commercial</vt:lpstr>
      <vt:lpstr>Mr Jean Yves Antsirabe</vt:lpstr>
      <vt:lpstr>IMERITSIATOSIKA</vt:lpstr>
      <vt:lpstr>MAHAJANGA</vt:lpstr>
      <vt:lpstr>DEPOT CENTRAL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GIleada</dc:creator>
  <cp:lastModifiedBy>resilient</cp:lastModifiedBy>
  <cp:lastPrinted>2023-11-01T05:35:14Z</cp:lastPrinted>
  <dcterms:created xsi:type="dcterms:W3CDTF">2022-12-05T14:56:00Z</dcterms:created>
  <dcterms:modified xsi:type="dcterms:W3CDTF">2026-10-12T19:27:42Z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954C1DC4FAE64225898743A873FB42C1_12</vt:lpwstr>
  </property>
  <property fmtid="{D5CDD505-2E9C-101B-9397-08002B2CF9AE}" pid="3" name="KSOProductBuildVer">
    <vt:lpwstr>1036-12.2.0.13201</vt:lpwstr>
  </property>
</Properties>
</file>